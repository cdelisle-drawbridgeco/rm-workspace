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ChrisDeLisle\git\rm-workspace\ext_docs\svr-one-pagers\"/>
    </mc:Choice>
  </mc:AlternateContent>
  <xr:revisionPtr revIDLastSave="0" documentId="8_{6F0E16D7-A86E-481E-9CF8-CE26AA6E0EB5}" xr6:coauthVersionLast="47" xr6:coauthVersionMax="47" xr10:uidLastSave="{00000000-0000-0000-0000-000000000000}"/>
  <bookViews>
    <workbookView xWindow="2000" yWindow="1160" windowWidth="14060" windowHeight="9170" xr2:uid="{1EE2FEFB-01F1-42D8-A2F3-461A0EAC1728}"/>
  </bookViews>
  <sheets>
    <sheet name="Priorities" sheetId="1" r:id="rId1"/>
    <sheet name="Export" sheetId="2" r:id="rId2"/>
    <sheet name="Scanning" sheetId="3" r:id="rId3"/>
    <sheet name="Training and Phishing" sheetId="6"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1" l="1"/>
  <c r="B1" i="1"/>
</calcChain>
</file>

<file path=xl/sharedStrings.xml><?xml version="1.0" encoding="utf-8"?>
<sst xmlns="http://schemas.openxmlformats.org/spreadsheetml/2006/main" count="1156" uniqueCount="727">
  <si>
    <t>MSP</t>
  </si>
  <si>
    <t>SEC</t>
  </si>
  <si>
    <t>PE</t>
  </si>
  <si>
    <t>File Host</t>
  </si>
  <si>
    <t>Centralize Users &amp; Control Resource Access</t>
  </si>
  <si>
    <t>Reign in User Environment</t>
  </si>
  <si>
    <t>Centrally Managed Directory</t>
  </si>
  <si>
    <t>ASAC</t>
  </si>
  <si>
    <t>Centrally Managed Accounts</t>
  </si>
  <si>
    <t>-</t>
  </si>
  <si>
    <t>Secure Accounts 1</t>
  </si>
  <si>
    <t>MFA - Admin Accounts</t>
  </si>
  <si>
    <t>MFA - Ext. Business Apps</t>
  </si>
  <si>
    <t>PW Char Count</t>
  </si>
  <si>
    <t>PW Expiration</t>
  </si>
  <si>
    <t>MFA - Webmail</t>
  </si>
  <si>
    <t>Communications</t>
  </si>
  <si>
    <t>MFA - Remote Access</t>
  </si>
  <si>
    <t>Remote Access Security</t>
  </si>
  <si>
    <t>Secure Accounts 2</t>
  </si>
  <si>
    <t>Account Lockout Threshold</t>
  </si>
  <si>
    <t>Local Admin Rights</t>
  </si>
  <si>
    <t>PW History</t>
  </si>
  <si>
    <t>PW Complexity</t>
  </si>
  <si>
    <t>Document &amp; Train</t>
  </si>
  <si>
    <t>Operational On/Offboarding</t>
  </si>
  <si>
    <t>On/Offboarding</t>
  </si>
  <si>
    <t>Tech On/Offboarding</t>
  </si>
  <si>
    <t>Training</t>
  </si>
  <si>
    <t>Training &amp; Awareness</t>
  </si>
  <si>
    <t>Phishing</t>
  </si>
  <si>
    <t>Inventory &amp; Documentation</t>
  </si>
  <si>
    <t>Asset Inventory</t>
  </si>
  <si>
    <t>3rd Party Approval</t>
  </si>
  <si>
    <t>Applicatopn Security</t>
  </si>
  <si>
    <t>Asset Management</t>
  </si>
  <si>
    <t>Document &amp; Patch</t>
  </si>
  <si>
    <t>Patch Management Policy</t>
  </si>
  <si>
    <t>Patch Management</t>
  </si>
  <si>
    <t>Responsible Patch Party</t>
  </si>
  <si>
    <t>Server Patches</t>
  </si>
  <si>
    <t>Workstation Patches</t>
  </si>
  <si>
    <t>Application Patches</t>
  </si>
  <si>
    <t>Networking Equipment Patches</t>
  </si>
  <si>
    <t>Critical Off-Cycle Patches</t>
  </si>
  <si>
    <t>Reboots</t>
  </si>
  <si>
    <t>Backups</t>
  </si>
  <si>
    <t>Data &amp; Email Backups</t>
  </si>
  <si>
    <t>Backups &amp; Recovery</t>
  </si>
  <si>
    <t>Application &amp; Database Data Backups</t>
  </si>
  <si>
    <t>Plan for Worst</t>
  </si>
  <si>
    <t>BCP</t>
  </si>
  <si>
    <t>DRP</t>
  </si>
  <si>
    <t>Physical Document Destruction</t>
  </si>
  <si>
    <t>Data Destruction</t>
  </si>
  <si>
    <t>IT Equipment Destruction</t>
  </si>
  <si>
    <t>WISP</t>
  </si>
  <si>
    <t>Security Policies</t>
  </si>
  <si>
    <t>IRP</t>
  </si>
  <si>
    <t>Defense in Depth</t>
  </si>
  <si>
    <t>Secure the Environment | Endpoint Baselines</t>
  </si>
  <si>
    <t>Rewrite Email URLs</t>
  </si>
  <si>
    <t>Antivirus/Antimalware</t>
  </si>
  <si>
    <t>Endpoint Protection</t>
  </si>
  <si>
    <t>Computer Inactivity Lockout</t>
  </si>
  <si>
    <t>Removable Media</t>
  </si>
  <si>
    <t xml:space="preserve">PC Hygeine </t>
  </si>
  <si>
    <t>Secure the Environment | Reputational Protections</t>
  </si>
  <si>
    <t>SPF</t>
  </si>
  <si>
    <t>DKIM</t>
  </si>
  <si>
    <t>Secure the Environment | Workstation Management</t>
  </si>
  <si>
    <t>Corporate Computers</t>
  </si>
  <si>
    <t>Secure the Environment | MDM</t>
  </si>
  <si>
    <t>MDM Enforcement</t>
  </si>
  <si>
    <t>Mobile Device Security</t>
  </si>
  <si>
    <t>Secure the Environment | Cloud Protections</t>
  </si>
  <si>
    <t>Cloud Assessment</t>
  </si>
  <si>
    <t>Exposure Management</t>
  </si>
  <si>
    <t>Vendor Diligence</t>
  </si>
  <si>
    <t>Vendor Assessments</t>
  </si>
  <si>
    <t>Review &amp; Iterate</t>
  </si>
  <si>
    <t>Access Control Review</t>
  </si>
  <si>
    <t>CATEGORY</t>
  </si>
  <si>
    <t>QUESTION ID</t>
  </si>
  <si>
    <t>Internal Notes</t>
  </si>
  <si>
    <t>QUESTION</t>
  </si>
  <si>
    <t>ANSWER</t>
  </si>
  <si>
    <t xml:space="preserve">SEVERITY </t>
  </si>
  <si>
    <t xml:space="preserve">CONTROL </t>
  </si>
  <si>
    <t>FINDINGS</t>
  </si>
  <si>
    <t>RISK</t>
  </si>
  <si>
    <t>RECOMMENDATION</t>
  </si>
  <si>
    <t>LAST EDITED DATE</t>
  </si>
  <si>
    <t>LAST EDITED BY</t>
  </si>
  <si>
    <t>INFORMATIONAL</t>
  </si>
  <si>
    <t>CRA-102872</t>
  </si>
  <si>
    <t>Does the Firm have a dedicated IT person or team? If so, please list the individual(s) and their title(s) in the text field.</t>
  </si>
  <si>
    <t>N/A</t>
  </si>
  <si>
    <t>CRA-102873</t>
  </si>
  <si>
    <t>If using an archiving service, how long is email data retained?</t>
  </si>
  <si>
    <t>CRA-2270</t>
  </si>
  <si>
    <t>Does the Firm use a third-party IT Provider?</t>
  </si>
  <si>
    <t>Yes</t>
  </si>
  <si>
    <t>CRA-2271</t>
  </si>
  <si>
    <t>If using a third-party IT Provider, please provide the company name.</t>
  </si>
  <si>
    <t>CRA-2272</t>
  </si>
  <si>
    <t xml:space="preserve">Are there defined cybersecurity roles at the Firm? </t>
  </si>
  <si>
    <t>No</t>
  </si>
  <si>
    <t>CRA-2273</t>
  </si>
  <si>
    <t>Please list members of the Information Security Team. If no formal team exists, please list the individuals responsible for managing the firm's cyber program.</t>
  </si>
  <si>
    <t>CRA-2274</t>
  </si>
  <si>
    <t>Does the Firm have a physical office space?</t>
  </si>
  <si>
    <t>CRA-2275</t>
  </si>
  <si>
    <t>If yes, how many office locations does the Firm have? Please list a number in the text field.</t>
  </si>
  <si>
    <t>CRA-2276</t>
  </si>
  <si>
    <t>If yes, please provide the address/addresses for the office(s).</t>
  </si>
  <si>
    <t>CRA-1465</t>
  </si>
  <si>
    <t>How many employees does the Firm have? Please enter a number in the text field.</t>
  </si>
  <si>
    <t>CRA-2277</t>
  </si>
  <si>
    <t>Does the Firm use Windows PCs, Macs, or both?</t>
  </si>
  <si>
    <t>CRA-2278</t>
  </si>
  <si>
    <t>Where does the firm primarily host its email (on-premises Exchange, Hosted Exchange, Office 365, etc.)?</t>
  </si>
  <si>
    <t>Microsoft 365</t>
  </si>
  <si>
    <t>CRA-2279</t>
  </si>
  <si>
    <t>Where does the firm primarily store its files (SharePoint, Dropbox, etc.)?</t>
  </si>
  <si>
    <t>CRA-2280</t>
  </si>
  <si>
    <t>How do employees remotely access the Firm's data?</t>
  </si>
  <si>
    <t>CRA-2281</t>
  </si>
  <si>
    <t>Aside from the Firm's IT Provider (if applicable), do third-party organizations connect to the Firm's network for data access via VPN, File Transfer Protocol, or other communication protocols?</t>
  </si>
  <si>
    <t>CRA-2282</t>
  </si>
  <si>
    <t>Has the  Firm ever experienced a cybersecurity event that led to one or more of the following: public disclosure, communication to clients, monetary loss, or a system outage that caused a significant business disruption?</t>
  </si>
  <si>
    <t>CRA-2283</t>
  </si>
  <si>
    <t>Do you use an email archiving service provider?</t>
  </si>
  <si>
    <t>CRA-2284</t>
  </si>
  <si>
    <t>If using an email archiving service, which provider is in use?</t>
  </si>
  <si>
    <t>ACCOUNT SECURITY &amp; ACCESS CONTROL</t>
  </si>
  <si>
    <t>CRA-2286</t>
  </si>
  <si>
    <t>Is a centralized directory solution in place to manage all user accounts?</t>
  </si>
  <si>
    <t>A centralized directory solution to control and enforce security settings on all Firm user accounts is in place.</t>
  </si>
  <si>
    <t>CRA-2287</t>
  </si>
  <si>
    <t>Are centrally managed (domain) user accounts used to log into corporate workstations?</t>
  </si>
  <si>
    <t>Centrally managed (domain) user accounts are used to log into corporate workstations.</t>
  </si>
  <si>
    <t>CRA-2288</t>
  </si>
  <si>
    <t>Is multifactor authentication enforced for all administrative accounts?</t>
  </si>
  <si>
    <t>Multifactor authentication is enforced for all administrative accounts.</t>
  </si>
  <si>
    <t>CRA-102888</t>
  </si>
  <si>
    <t>Are employees denied administrative access to their local computers?</t>
  </si>
  <si>
    <t>High</t>
  </si>
  <si>
    <t>CRA-2290</t>
  </si>
  <si>
    <t>Do all administrators have a second, dedicated account for administrative tasks only (separate from the account used for day-to-day work tasks)?</t>
  </si>
  <si>
    <t>CRA-2291</t>
  </si>
  <si>
    <t>Are any shared user, operational, or network accounts in use (a shared account on a conference room PC, shared mailboxes, shared admin accounts for the IT team, etc.)?</t>
  </si>
  <si>
    <t>Moderate</t>
  </si>
  <si>
    <t>CRA-102892</t>
  </si>
  <si>
    <t>Are any shared administrative accounts in use (other than those used by an outsourced IT provider)?</t>
  </si>
  <si>
    <t>CRA-102893</t>
  </si>
  <si>
    <t>If any shared administrative accounts are in use by the outsourced IT provider, what controls are in place to provide accountability (account activity audits, access logs, etc.)?</t>
  </si>
  <si>
    <t>An audit trail is available which includes individual user, date/timestamp and activity information.</t>
  </si>
  <si>
    <t>Low</t>
  </si>
  <si>
    <t>Encourage the IT provider to eliminate shared administrative accounts.</t>
  </si>
  <si>
    <t>CRA-2296</t>
  </si>
  <si>
    <t>Do employee data access permission changes go through a documented process of review and approval?</t>
  </si>
  <si>
    <t>User permission changes go through a formal process of review and approval.</t>
  </si>
  <si>
    <t>CRA-2297</t>
  </si>
  <si>
    <t>Is the principle of least privilege followed when granting employees access to company data, systems, and applications?</t>
  </si>
  <si>
    <t>CRA-2299</t>
  </si>
  <si>
    <t>Are existing employee permissions to company data, systems, and applications reviewed regularly to ensure the principle of least privilege is being followed?</t>
  </si>
  <si>
    <t>CRA-2301</t>
  </si>
  <si>
    <t>Is multifactor authentication required for all cloud-based or externally available line of business applications with sensitive data (OMS, CRM, etc.)?</t>
  </si>
  <si>
    <t>Multifactor authentication is required for externally available line of business applications.</t>
  </si>
  <si>
    <t>CRA-2302</t>
  </si>
  <si>
    <t>Is authentication federation (Single Sign On) required for cloud-based or externally available business critical applications (OMS, PMS, CRM, etc.)?</t>
  </si>
  <si>
    <t>Secure access policies may not be applied uniformly to all applications if a centralized sign on solution is not in place.</t>
  </si>
  <si>
    <t>Consider enforcing a single sign on solution for all externally available productivity applications.</t>
  </si>
  <si>
    <t>CRA-2303</t>
  </si>
  <si>
    <t>Do computers shut down or auto-lock after a period of inactivity? After how many minutes? Please select a range and provide a specific number of minutes in the text field.</t>
  </si>
  <si>
    <t>CRA-2304</t>
  </si>
  <si>
    <t>Are employees locked out of their accounts after a set number of incorrect login attempts? Please select a range and provide a specific number of attempts in the text field.</t>
  </si>
  <si>
    <t>CRA-2305</t>
  </si>
  <si>
    <t>Is an account lockout duration in place? Please select a time window and provide a specific number in the text field.</t>
  </si>
  <si>
    <t>CRA-2306</t>
  </si>
  <si>
    <t>How many characters are required for employee login account passwords? Please select an option from the drop down and provide a specific number in the text field.</t>
  </si>
  <si>
    <t>CRA-102894</t>
  </si>
  <si>
    <t>How often do account passwords expire? Please select an option below and provide a specific number in the text field.</t>
  </si>
  <si>
    <t>CRA-2308</t>
  </si>
  <si>
    <t>Is password history remembered? Please select an option below and provide a specific number in the text field.</t>
  </si>
  <si>
    <t>CRA-2309</t>
  </si>
  <si>
    <t>Are password complexity requirements enforced?</t>
  </si>
  <si>
    <t>Yes - Uppercase and lowercase letters, special characters, and numbers</t>
  </si>
  <si>
    <t>Password complexity requirements are enforced.</t>
  </si>
  <si>
    <t>APPLICATION SECURITY</t>
  </si>
  <si>
    <t>CRA-2311</t>
  </si>
  <si>
    <t>Is there a formal approval process when third party application installations are needed by employees?</t>
  </si>
  <si>
    <t>A formal approval process for 3rd party application installations is in place.</t>
  </si>
  <si>
    <t>ASSET MANAGEMENT</t>
  </si>
  <si>
    <t>CRA-103555</t>
  </si>
  <si>
    <t>If applicable, are subsidiaries managed by the firm included within the firm’s centralized IT infrastructure (as opposed to these entities operating with independent IT systems)?</t>
  </si>
  <si>
    <t>CRA-2312</t>
  </si>
  <si>
    <t>Are all software &amp; hardware assets inventoried?</t>
  </si>
  <si>
    <t>Yes - Automated</t>
  </si>
  <si>
    <t>Software &amp; hardware assets are inventoried automatically.</t>
  </si>
  <si>
    <t>CRA-102874</t>
  </si>
  <si>
    <t>Has all end of life hardware and software been decommissioned?</t>
  </si>
  <si>
    <t>CRA-102895</t>
  </si>
  <si>
    <t>Is all equipment purchased in new and/or refurbished condition?</t>
  </si>
  <si>
    <t>AUDIT &amp; LOGGING</t>
  </si>
  <si>
    <t>CRA-2315</t>
  </si>
  <si>
    <t>Is logging enabled on all networking devices?</t>
  </si>
  <si>
    <t>CRA-2316</t>
  </si>
  <si>
    <t>Is a log retention policy in place for all networking devices?</t>
  </si>
  <si>
    <t>CRA-2317</t>
  </si>
  <si>
    <t>Is logging enabled on all servers?</t>
  </si>
  <si>
    <t>CRA-2318</t>
  </si>
  <si>
    <t>Is a log retention policy in place for all servers?</t>
  </si>
  <si>
    <t>CRA-2319</t>
  </si>
  <si>
    <t>Is logging enabled on SaaS applications with sensitive data (Office 365, Google Workspace, etc.)?</t>
  </si>
  <si>
    <t>Logging is enabled on all SaaS application servers.</t>
  </si>
  <si>
    <t>CRA-2320</t>
  </si>
  <si>
    <t>Is a log retention policy in place for SaaS applications with sensitive data?</t>
  </si>
  <si>
    <t>CRA-2321</t>
  </si>
  <si>
    <t>Is log aggregation reviewed at least annually to ensure that all appropriate log sources are in scope and successfully being captured?</t>
  </si>
  <si>
    <t>CRA-2322</t>
  </si>
  <si>
    <t>Is a SIEM/log monitoring solution in place?</t>
  </si>
  <si>
    <t>BACKUPS &amp; RECOVERY</t>
  </si>
  <si>
    <t>CRA-102875</t>
  </si>
  <si>
    <t>Is the Firm's critical application and/or database data backed up (CRM, OMS, SQL, etc.)?</t>
  </si>
  <si>
    <t>Firm application and database data is backed up.</t>
  </si>
  <si>
    <t>CRA-102876</t>
  </si>
  <si>
    <t>Are network device configurations backed up?</t>
  </si>
  <si>
    <t>Network device configurations are backed up.</t>
  </si>
  <si>
    <t>CRA-102877</t>
  </si>
  <si>
    <t>Are data backup policies outlined in the Firm's written cybersecurity policy?</t>
  </si>
  <si>
    <t>CRA-102878</t>
  </si>
  <si>
    <t>Are all backups of critical data stored in geographically diverse locations?</t>
  </si>
  <si>
    <t>Backups are stored in geographically diverse locations.</t>
  </si>
  <si>
    <t>CRA-102879</t>
  </si>
  <si>
    <t>Are all backups encrypted at rest?</t>
  </si>
  <si>
    <t>Backups are encrypted at rest.</t>
  </si>
  <si>
    <t>CRA-102880</t>
  </si>
  <si>
    <t>Does the Firm verify email backup integrity through mailbox restorations?</t>
  </si>
  <si>
    <t>CRA-102881</t>
  </si>
  <si>
    <t>Does the Firm test its backup and recovery capabilities through restorations of critical data?</t>
  </si>
  <si>
    <t>CRA-2323</t>
  </si>
  <si>
    <t>Are both Firm email and file data backed up?</t>
  </si>
  <si>
    <t>Firm email and file data is backed up.</t>
  </si>
  <si>
    <t>CRA-2324</t>
  </si>
  <si>
    <t>If Firm email is hosted by a public cloud provider (Microsoft 365, Google, etc.), is data backed up using an independent third party service (separate from the public cloud provider)?</t>
  </si>
  <si>
    <t>Firm email hosted by a public cloud provider is backed up using an independent third party service.</t>
  </si>
  <si>
    <t>CRA-2325</t>
  </si>
  <si>
    <t>If Firm email hosted by a public cloud provider (Microsoft 365, Google, etc.) is backed up using an independent third party service, what is the retention policy?</t>
  </si>
  <si>
    <t>CRA-2326</t>
  </si>
  <si>
    <t>If Firm file data is hosted by a public cloud provider (Microsoft 365, Google, Dropbox, etc.), is critical data backed up using an independent third party service?</t>
  </si>
  <si>
    <t>Firm file data hosted by a public cloud provider is backed up using an independent third party service.</t>
  </si>
  <si>
    <t>CRA-2330</t>
  </si>
  <si>
    <t>What is the minimum retention period for backups of critical data?</t>
  </si>
  <si>
    <t>CRA-2336</t>
  </si>
  <si>
    <t>Does the Firm receive alerts when backup processes fail?</t>
  </si>
  <si>
    <t>The Firm receives alerts when backup processes fail.</t>
  </si>
  <si>
    <t>CRA-2337</t>
  </si>
  <si>
    <t>Is voice data such as voicemails, call history, and call recordings (if in use) backed up regularly?</t>
  </si>
  <si>
    <t>CRA-2338</t>
  </si>
  <si>
    <t>Is an approved, documented Business Continuity Plan in place?</t>
  </si>
  <si>
    <t>CRA-2339</t>
  </si>
  <si>
    <t>Has the Business Continuity Plan been tested?</t>
  </si>
  <si>
    <t>CRA-2340</t>
  </si>
  <si>
    <t>Does the Firm maintain a Disaster Recovery Plan?</t>
  </si>
  <si>
    <t>CRA-2341</t>
  </si>
  <si>
    <t>Has the Disaster Recovery Plan been tested?</t>
  </si>
  <si>
    <t>CRA-2342</t>
  </si>
  <si>
    <t>Are critical systems and data (including cloud data) replicated to a secondary site?</t>
  </si>
  <si>
    <t>DATA DESTRUCTION</t>
  </si>
  <si>
    <t>CRA-102882</t>
  </si>
  <si>
    <t>Is a process in place to dispose of physical documents in a secure manner?</t>
  </si>
  <si>
    <t>A process to dispose of physical documents in a secure manner is in place.</t>
  </si>
  <si>
    <t>CRA-102883</t>
  </si>
  <si>
    <t>Is a process in place to dispose of IT equipment in a secure manner with certificates of destruction provided?</t>
  </si>
  <si>
    <t>A process is in place to dispose of IT equipment in a secure manner with certificates of destruction provided.</t>
  </si>
  <si>
    <t>DATA SECURITY</t>
  </si>
  <si>
    <t>CRA-2352</t>
  </si>
  <si>
    <t>Does the Firm have solutions that actively block exfiltration of sensitive data based on classification and/or content?</t>
  </si>
  <si>
    <t>CRA-102886</t>
  </si>
  <si>
    <t>Are desktop computer hard drives encrypted?</t>
  </si>
  <si>
    <t>CRA-102887</t>
  </si>
  <si>
    <t>Are laptop computer hard drives encrypted?</t>
  </si>
  <si>
    <t>CRA-2345</t>
  </si>
  <si>
    <t>Is confidential data within the Firm's environment identified and classified based on sensitivity?</t>
  </si>
  <si>
    <t>Sensitive or confidential data that is not identified may not have adequate protections in place.</t>
  </si>
  <si>
    <t>CRA-2346</t>
  </si>
  <si>
    <t>Is end-to-end encryption enforced when sending confidential or sensitive documents to third parties?</t>
  </si>
  <si>
    <t>CRA-2347</t>
  </si>
  <si>
    <t>Does your Firm have a formal policy which dictates where data can and can't be stored?</t>
  </si>
  <si>
    <t>CRA-2348</t>
  </si>
  <si>
    <t>Are all server hard drives encrypted?</t>
  </si>
  <si>
    <t>CRA-2351</t>
  </si>
  <si>
    <t>Is the Firm monitoring and logging file access?</t>
  </si>
  <si>
    <t>File access by employees is monitored and logged.</t>
  </si>
  <si>
    <t>CRA-2353</t>
  </si>
  <si>
    <t>Are email based data loss prevention controls in place for information the Firm deems sensitive?</t>
  </si>
  <si>
    <t>Email based data loss prevention controls are not in place.</t>
  </si>
  <si>
    <t>Sensitive data exfiltration via email will be more likely if preventative controls are not in place.</t>
  </si>
  <si>
    <t>Implement email controls which identify, alert, and block unauthorized transfers of sensitive data or content.</t>
  </si>
  <si>
    <t>CRA-2354</t>
  </si>
  <si>
    <t>Are alerts regarding abnormal data handling behavior within the Firm's file system generated and responded to within 24 hours?</t>
  </si>
  <si>
    <t>COMMUNICATIONS</t>
  </si>
  <si>
    <t>CRA-2355</t>
  </si>
  <si>
    <t>Is the Firm's voice system's perimeter protected by a firewall? Not applicable if cloud-based.</t>
  </si>
  <si>
    <t>N/A - The voice system is cloud-based</t>
  </si>
  <si>
    <t>CRA-2356</t>
  </si>
  <si>
    <t>Does the Firm encrypt email in transit opportunistically (these settings are enabled by default in Office 365 and Gmail)?</t>
  </si>
  <si>
    <t>Email in transit is encrypted opportunistically.</t>
  </si>
  <si>
    <t>CRA-2357</t>
  </si>
  <si>
    <t>Does the Firm have a method of enforcing outbound email encryption?</t>
  </si>
  <si>
    <t>The Firm has a method of enforcing outbound email encryption.</t>
  </si>
  <si>
    <t>CRA-2358</t>
  </si>
  <si>
    <t>Are SPF records in place for all email domains?</t>
  </si>
  <si>
    <t>SPF records are in place for email domains.</t>
  </si>
  <si>
    <t>CRA-2359</t>
  </si>
  <si>
    <t>Is DKIM in place for all email domains?</t>
  </si>
  <si>
    <t>DKIM is in place for email domains.</t>
  </si>
  <si>
    <t>CRA-2360</t>
  </si>
  <si>
    <t>Are DMARC records in place for all email domains?</t>
  </si>
  <si>
    <t>DMARC records are in place for email domains.</t>
  </si>
  <si>
    <t>CRA-2362</t>
  </si>
  <si>
    <t>Is email access via web browser disabled?</t>
  </si>
  <si>
    <t>CRA-2363</t>
  </si>
  <si>
    <t>Is email access via email application (Outlook, etc.) restricted to approved devices?</t>
  </si>
  <si>
    <t>CRA-2365</t>
  </si>
  <si>
    <t>Is multifactor authentication required for email access?</t>
  </si>
  <si>
    <t>CRA-2366</t>
  </si>
  <si>
    <t>If an authenticator app is used for multifactor authentication, please provide the solution.</t>
  </si>
  <si>
    <t>CRA-2367</t>
  </si>
  <si>
    <t>Is a solution used for email attachment/spam filtering in place?</t>
  </si>
  <si>
    <t>An email filtering solution is in place.</t>
  </si>
  <si>
    <t>CRA-2368</t>
  </si>
  <si>
    <t>Is filtering of URLs within email message in place to reduce the risk of accessing malicious websites?</t>
  </si>
  <si>
    <t>CRA-2369</t>
  </si>
  <si>
    <t>Are email attachments tested for malicious code in a sandbox before being delivered to employee inboxes?</t>
  </si>
  <si>
    <t>EMPLOYEE ONBOARDING AND OFFBOARDING</t>
  </si>
  <si>
    <t>CRA-102884</t>
  </si>
  <si>
    <t>Does the Firm have a documented employee onboarding &amp; offboarding procedure from an operational perspective?</t>
  </si>
  <si>
    <t>Operational onboarding and offboarding procedures are implemented.</t>
  </si>
  <si>
    <t>CRA-2371</t>
  </si>
  <si>
    <t>Is there a formalized onboarding and offboarding process from an IT perspective?</t>
  </si>
  <si>
    <t>Technical onboarding and offboarding procedures are implemented.</t>
  </si>
  <si>
    <t>ENDPOINT PROTECTION</t>
  </si>
  <si>
    <t>CRA-2372</t>
  </si>
  <si>
    <t>Are employees restricted from using their personal computers to conduct Firm business, log into the email system, or access files?</t>
  </si>
  <si>
    <t>Personal devices may not adhere to the Firm's security policies. As a result, an attacker will be able to compromise Firm systems and data by targeting personal computers.</t>
  </si>
  <si>
    <t>CRA-102896</t>
  </si>
  <si>
    <t>Are employees blocked from using removable media (USB thumb drives, CD/DVD drives, etc.) with their corporate machines?</t>
  </si>
  <si>
    <t>CRA-2374</t>
  </si>
  <si>
    <t>Is centrally managed anti-malware software implemented to continuously monitor and defend the organization's workstations and servers?</t>
  </si>
  <si>
    <t>Centrally managed anti-malware software has been implemented.</t>
  </si>
  <si>
    <t>MOBILE DEVICE SECURITY</t>
  </si>
  <si>
    <t>CRA-2376</t>
  </si>
  <si>
    <t>Is a mobile device management (MDM) solution in place for all phones and tablets accessing Firm data?</t>
  </si>
  <si>
    <t>CRA-2377</t>
  </si>
  <si>
    <t>Is a mobile application management (containerization) solution in place for connected phones and tablets?</t>
  </si>
  <si>
    <t>CRA-2378</t>
  </si>
  <si>
    <t>Are connected phones and tablets required to have up-to-date operating system software before accessing Firm data?</t>
  </si>
  <si>
    <t>CRA-2379</t>
  </si>
  <si>
    <t>Are password requirements enforced on mobile devices? Please select a range from the drop down and provide a specific number in the text field.</t>
  </si>
  <si>
    <t>CRA-2380</t>
  </si>
  <si>
    <t>Are mobile devices locked after a number of failed access attempts are made? Please select both a range from the drop down and provide a specific number in the text field.</t>
  </si>
  <si>
    <t>An attacker can brute-force a mobile password if devices aren't disabled after a set number of attempts.</t>
  </si>
  <si>
    <t>CRA-2381</t>
  </si>
  <si>
    <t>Is auto-lock enforced on mobile devices after a period of inactivity? If so, please select a range and provide a specific number of minutes in the text field.</t>
  </si>
  <si>
    <t>An attacker will have full access to all Firm systems and data connected to an unlocked device.</t>
  </si>
  <si>
    <t>Enforce a mobile device lockout policy of less than 1 minute.</t>
  </si>
  <si>
    <t>CRA-2382</t>
  </si>
  <si>
    <t>Is mobile device email wiped when an employee leaves the Firm (or if a phone is lost)?</t>
  </si>
  <si>
    <t>Email is wiped from mobile devices when an employee leaves the Firm, or when a device is lost or stolen.</t>
  </si>
  <si>
    <t>NETWORK AVAILABILITY</t>
  </si>
  <si>
    <t>CRA-2386</t>
  </si>
  <si>
    <t>Is availability of critical systems and services hosting Firm data verified through regular testing?</t>
  </si>
  <si>
    <t>CRA-102885</t>
  </si>
  <si>
    <t>Are network devices (firewall(s), switch(es) and/or wireless access point(s)) shared with any external organizations (another tenant, WeWork, etc.)?</t>
  </si>
  <si>
    <t>Network devices or resources are not shared with any external organizations.</t>
  </si>
  <si>
    <t>CRA-2383</t>
  </si>
  <si>
    <t>Is redundant internet connectivity in place for all office locations to maintain network availability?</t>
  </si>
  <si>
    <t>CRA-2384</t>
  </si>
  <si>
    <t>Are internet failover tests conducted regularly at all office locations?</t>
  </si>
  <si>
    <t>CRA-2388</t>
  </si>
  <si>
    <t>Do employees use mobile hotspots or cell phone tethering when travelling?</t>
  </si>
  <si>
    <t>Public networks are vulnerable to attacks due to a lack of security controls and insight into other devices connected to the network.</t>
  </si>
  <si>
    <t>Consider deploying dedicated hotspots for critical staff within the Firm to isolate work activities from unsecured networks.</t>
  </si>
  <si>
    <t>NETWORK SECURITY</t>
  </si>
  <si>
    <t>CRA-2390</t>
  </si>
  <si>
    <t>Does your IT team have a secure remote management solution for desktops, laptops and servers?</t>
  </si>
  <si>
    <t>The Firm's IT team has a secure remote management solution for desktops, laptops and servers.</t>
  </si>
  <si>
    <t>CRA-2393</t>
  </si>
  <si>
    <t>Is the internal network segmented to restrict lateral movement between workstations, servers (if applicable), and networking equipment?</t>
  </si>
  <si>
    <t>CRA-2394</t>
  </si>
  <si>
    <t>Is communication between devices on the same VLAN limited to reduce the risk of lateral movement or malicious traffic traveling between devices?</t>
  </si>
  <si>
    <t>CRA-2395</t>
  </si>
  <si>
    <t>Is personal email blocked while accessing Firm data, systems, and applications?</t>
  </si>
  <si>
    <t>Personal email is not blocked while  accessing Firm data, systems, and applications from the office or remotely.</t>
  </si>
  <si>
    <t>Sensitive data may be exfiltrated to personal accounts if access is not blocked.  Additionally, malicious emails may be accessible if personal email filtering is not up to corporate standards.</t>
  </si>
  <si>
    <t>Block employee access to personal email solutions while working from the office and remotely.</t>
  </si>
  <si>
    <t>CRA-2396</t>
  </si>
  <si>
    <t>Are unauthorized file sharing solutions (Dropbox, Box, etc.) blocked while accessing Firm data, systems, and applications?</t>
  </si>
  <si>
    <t>Unauthorized file sharing solutions are not blocked while  accessing Firm data, systems, and applications.</t>
  </si>
  <si>
    <t>Sensitive data may be exfiltrated to personal file sharing accounts if access is not blocked.  Additionally, malicious files may be accessible if personal file sharing accounts are not blocked.</t>
  </si>
  <si>
    <t>Block employee access to unauthorized file sharing solutions while working from the office or remotely.</t>
  </si>
  <si>
    <t>CRA-2397</t>
  </si>
  <si>
    <t>Is a solution in place for web content filtering?</t>
  </si>
  <si>
    <t>PERIMETER SECURITY</t>
  </si>
  <si>
    <t>CRA-2398</t>
  </si>
  <si>
    <t>Are network firewalls in place to protect the network perimeter?</t>
  </si>
  <si>
    <t>A firewall protects the network perimeter.</t>
  </si>
  <si>
    <t>CRA-2399</t>
  </si>
  <si>
    <t>Is the Firm utilizing an intrusion detection (IDS) and/or intrusion prevention (IPS) solution for systems or services hosting critical data?</t>
  </si>
  <si>
    <t>CRA-2400</t>
  </si>
  <si>
    <t>Is the Firm utilizing an endpoint based intrusion detection (IDS) and/or prevention (IPS) solution for systems or services hosting critical data?</t>
  </si>
  <si>
    <t>CRA-2401</t>
  </si>
  <si>
    <t>Is the Firm utilizing a managed detection and response (MDR) solution?</t>
  </si>
  <si>
    <t>CRA-2402</t>
  </si>
  <si>
    <t>If applicable, what primary MDR solution is in use?</t>
  </si>
  <si>
    <t>PATCH MANAGEMENT</t>
  </si>
  <si>
    <t>CRA-2403</t>
  </si>
  <si>
    <t>Is a documented patching policy in place for all workstations, servers, and network equipment?</t>
  </si>
  <si>
    <t>A documented patch management policy is in place for workstations and servers.</t>
  </si>
  <si>
    <t>CRA-2404</t>
  </si>
  <si>
    <t>Who is primarily responsible for deploying patches on corporate systems?</t>
  </si>
  <si>
    <t>IT Provider/MSP</t>
  </si>
  <si>
    <t>CRA-2405</t>
  </si>
  <si>
    <t>Are all servers patched on a monthly basis (or more frequently)?</t>
  </si>
  <si>
    <t>Monthly</t>
  </si>
  <si>
    <t>CRA-2406</t>
  </si>
  <si>
    <t>Are all workstations patched on a recurring basis?</t>
  </si>
  <si>
    <t>CRA-2407</t>
  </si>
  <si>
    <t>Are all business critical productivity applications patched on a recurring basis?</t>
  </si>
  <si>
    <t>CRA-2408</t>
  </si>
  <si>
    <t>Are patches for networking equipment reviewed and/or applied on a recurring basis?</t>
  </si>
  <si>
    <t>CRA-2409</t>
  </si>
  <si>
    <t>Do you have a centrally managed patch management system in place to approve and deploy patches?</t>
  </si>
  <si>
    <t>A centrally managed patch management system is in place.</t>
  </si>
  <si>
    <t>CRA-2410</t>
  </si>
  <si>
    <t>Are patches tested before deployment?</t>
  </si>
  <si>
    <t>Patches are tested before deployment.</t>
  </si>
  <si>
    <t>CRA-2411</t>
  </si>
  <si>
    <t>Are rollback procedures in place if issues arise due to patching?</t>
  </si>
  <si>
    <t>A rollback process for patching is in place.</t>
  </si>
  <si>
    <t>CRA-2412</t>
  </si>
  <si>
    <t>Are critical security patches identified and deployed outside of the normal patching cycle?</t>
  </si>
  <si>
    <t>Critical security patches are identified and deployed outside of the normal patching cycle.</t>
  </si>
  <si>
    <t>CRA-2413</t>
  </si>
  <si>
    <t>Are system reboots forced on workstations and servers (if applicable) to ensure patches are installed?</t>
  </si>
  <si>
    <t>Yes - Reboots are forced</t>
  </si>
  <si>
    <t>System reboots are forced to ensure patches are installed.</t>
  </si>
  <si>
    <t>PHYSICAL SECURITY</t>
  </si>
  <si>
    <t>CRA-2414</t>
  </si>
  <si>
    <t>Is office building access restricted for all locations during business hours?</t>
  </si>
  <si>
    <t>Yes - The building is locked during business hours</t>
  </si>
  <si>
    <t>Building access is restricted during business hours.</t>
  </si>
  <si>
    <t>CRA-2415</t>
  </si>
  <si>
    <t>Is office access at all locations restricted during business hours?</t>
  </si>
  <si>
    <t>Yes - The office is locked during business hours</t>
  </si>
  <si>
    <t>Office access is restricted during business hours.</t>
  </si>
  <si>
    <t>CRA-2416</t>
  </si>
  <si>
    <t>Are environmental controls in place to protect Firm owned critical IT infrastructure (moisture, temperature, etc.)?</t>
  </si>
  <si>
    <t>CRA-2417</t>
  </si>
  <si>
    <t>Is CCTV with 7 or more days' recording retention in use at all of the Firm's office space(s)?</t>
  </si>
  <si>
    <t>CRA-2418</t>
  </si>
  <si>
    <t>Is CCTV with 7 or more days' recording retention in use at all Firm's data center(s)?</t>
  </si>
  <si>
    <t>CRA-2419</t>
  </si>
  <si>
    <t>Are visitor access logs maintained at all office and/or datacenter locations?</t>
  </si>
  <si>
    <t>CRA-2420</t>
  </si>
  <si>
    <t>Is a key, key card, biometric scanner, or FOB required for office access at all locations when reception is not staffed?</t>
  </si>
  <si>
    <t>CRA-2421</t>
  </si>
  <si>
    <t>Are intrusion alarms in place for all of the Firm's office(s)?</t>
  </si>
  <si>
    <t>Office alarms are in place.</t>
  </si>
  <si>
    <t>CRA-2422</t>
  </si>
  <si>
    <t>Are intrusion alarms in place for all of the Firm's datacenter(s)?</t>
  </si>
  <si>
    <t>CRA-2423</t>
  </si>
  <si>
    <t>Is access to all on premise IT rooms (server(s) and/or networking) protected and monitored?</t>
  </si>
  <si>
    <t>Access to the on premise IT room is protected and monitored.</t>
  </si>
  <si>
    <t>CRA-2424</t>
  </si>
  <si>
    <t>Are backup batteries tested at least annually to ensure connected equipment remains online in the event of a power outage?</t>
  </si>
  <si>
    <t>REMOTE ACCESS SECURITY</t>
  </si>
  <si>
    <t>CRA-2425</t>
  </si>
  <si>
    <t>Are external vendors accessing Firm systems and data required to meet or exceed the Firm's cybersecurity standards?</t>
  </si>
  <si>
    <t>CRA-2426</t>
  </si>
  <si>
    <t>Is data exfiltration to personal devices restricted when accessing the Firm's data and systems remotely via containerized sessions such as VDI or Citrix?</t>
  </si>
  <si>
    <t>CRA-2427</t>
  </si>
  <si>
    <t>Is data exfiltration to personal devices restricted when accessing the Firm's data and systems remotely via VPN?</t>
  </si>
  <si>
    <t>CRA-2428</t>
  </si>
  <si>
    <t>Is data exfiltration to personal devices restricted when accessing the Firm's data and systems over the internet?</t>
  </si>
  <si>
    <t>CRA-2429</t>
  </si>
  <si>
    <t>If applicable, is a full tunnel configuration in place for VPN access?</t>
  </si>
  <si>
    <t>CRA-2430</t>
  </si>
  <si>
    <t>Is remote access to the Firm's data and systems restricted to company provided computers?</t>
  </si>
  <si>
    <t>CRA-2431</t>
  </si>
  <si>
    <t>Is remote access to the Firm's data and systems restricted to company provided mobile phones?</t>
  </si>
  <si>
    <t>CRA-2432</t>
  </si>
  <si>
    <t>Is multifactor authentication required to remotely access the Firm's data, systems, and applications? If the solution in use is not listed, please select "other" and list the applicable software in the text field.</t>
  </si>
  <si>
    <t>SECURITY POLICIES</t>
  </si>
  <si>
    <t>CRA-2433</t>
  </si>
  <si>
    <t>Is an approved, documented written information security policy in place?</t>
  </si>
  <si>
    <t>A formal Written Information Security Policy has been prepared and distributed Firm-wide.</t>
  </si>
  <si>
    <t>CRA-2434</t>
  </si>
  <si>
    <t>Is an approved, documented incident response plan in place?</t>
  </si>
  <si>
    <t>CRA-2435</t>
  </si>
  <si>
    <t>Are incident response tabletop exercises performed to test the Firm's response to hypothetical cybersecurity incidents?</t>
  </si>
  <si>
    <t>CRA-2436</t>
  </si>
  <si>
    <t>Does the Firm perform risk assessments on third parties managing and/or accessing the Firm's critical or sensitive data? This includes, but is not limited to, financials, PII and other critical operating data.</t>
  </si>
  <si>
    <t>CRA-2437</t>
  </si>
  <si>
    <t>Does the Firm conduct security assessments of its primary cloud platform (Office 365, Google, etc.)?</t>
  </si>
  <si>
    <t>CRA-2438</t>
  </si>
  <si>
    <t>Are any individuals exempt from fully adhering to the Firm's cybersecurity policies?</t>
  </si>
  <si>
    <t>CRA-2439</t>
  </si>
  <si>
    <t xml:space="preserve">Does the Firm maintain cybersecurity insurance? </t>
  </si>
  <si>
    <t>The Firm maintains cybersecurity insurance.</t>
  </si>
  <si>
    <t>TRAINING &amp; AWARENESS</t>
  </si>
  <si>
    <t>CRA-2441</t>
  </si>
  <si>
    <t xml:space="preserve">Is cybersecurity training in place for all employees? </t>
  </si>
  <si>
    <t>CRA-2442</t>
  </si>
  <si>
    <t>Are phishing campaigns conducted for employees?</t>
  </si>
  <si>
    <t>VULNERABILITY MANAGEMENT</t>
  </si>
  <si>
    <t>CRA-2443</t>
  </si>
  <si>
    <t>Are internal penetration tests (attempts to exploit vulnerabilities) performed against the firm's internal  IT assets?</t>
  </si>
  <si>
    <t>CRA-2444</t>
  </si>
  <si>
    <t xml:space="preserve">Does the Firm conduct external penetration tests (attempts to exploit vulnerabilities) against its publicly facing network assets? </t>
  </si>
  <si>
    <t>CRA-2445</t>
  </si>
  <si>
    <t>Does the Firm conduct continuous vulnerability scans against the network?</t>
  </si>
  <si>
    <t>CRA-2446</t>
  </si>
  <si>
    <t>Does the Firm conduct continuous authenticated  vulnerability scanning against the network?</t>
  </si>
  <si>
    <t>CRA-2447</t>
  </si>
  <si>
    <t>Does the Firm conduct continuous vulnerability scanning against corporate issued machines accessing Firm data and systems (typically via installed software agents)?</t>
  </si>
  <si>
    <t>WIRELESS SECURITY</t>
  </si>
  <si>
    <t>CRA-2448</t>
  </si>
  <si>
    <t>Does the Firm logically separate guest and internal wireless networks?</t>
  </si>
  <si>
    <t>The internal and guest Wi-Fi networks are logically separated.</t>
  </si>
  <si>
    <t>CRA-2449</t>
  </si>
  <si>
    <t>How often are Wi-Fi passwords changed on the guest network?</t>
  </si>
  <si>
    <t>Ad-Hoc</t>
  </si>
  <si>
    <t>Guest network Wi-Fi passwords are changed on an ad-hoc basis.</t>
  </si>
  <si>
    <t>A password that is not rotated frequently enough gives a threat actor more time to launch a successful attack.</t>
  </si>
  <si>
    <t>Rotate guest Wi-Fi passwords on a quarterly basis (at least).</t>
  </si>
  <si>
    <t>CRA-2450</t>
  </si>
  <si>
    <t>What type of authentication controls are used for internal Wi-Fi access?</t>
  </si>
  <si>
    <t>1</t>
  </si>
  <si>
    <t>Both</t>
  </si>
  <si>
    <t>Global Relay</t>
  </si>
  <si>
    <t>Administrators have a second, dedicated account for administrative tasks only.</t>
  </si>
  <si>
    <t>Shared user accounts are not in use, or usage is strictly limited and monitored.</t>
  </si>
  <si>
    <t xml:space="preserve">Shared administrative accounts are not in use.
</t>
  </si>
  <si>
    <t xml:space="preserve">Shared administrative accounts are in use by the outsourced IT provider, but an audit trail is available which includes individual user, date/timestamp and activity information.
</t>
  </si>
  <si>
    <t xml:space="preserve">Shared passwords are at increased chance of compromise due to password exposure to more than one person.
</t>
  </si>
  <si>
    <t>Access permissions are assigned according to the principle of least privilege.</t>
  </si>
  <si>
    <t>Yes - For some applications</t>
  </si>
  <si>
    <t>Authentication federation (Single Sign On) is required for some cloud-based or externally available productivity applications.</t>
  </si>
  <si>
    <t>Yes - 15 minutes or less</t>
  </si>
  <si>
    <t xml:space="preserve">Computers are set to lock after 15 minutes or less. </t>
  </si>
  <si>
    <t xml:space="preserve">The Firm's account password expiration policy is aligned with industry best practices.
</t>
  </si>
  <si>
    <t xml:space="preserve">Equipment is purchased in new and/or refurbished condition.
</t>
  </si>
  <si>
    <t>Logging is enabled on all  networking devices.</t>
  </si>
  <si>
    <t>The Firm's network device log retention policy aligns with best practices.</t>
  </si>
  <si>
    <t>Yes - 90 - 364 days</t>
  </si>
  <si>
    <t>The Firm's SaaS application log retention policy aligns with best practices.</t>
  </si>
  <si>
    <t>Log aggregation is reviewed at least annually to ensure that all appropriate log sources are in scope and successfully being captured.</t>
  </si>
  <si>
    <t>A SIEM or comparable log monitoring solution is in place.</t>
  </si>
  <si>
    <t>Data backup procedures are formally documented.</t>
  </si>
  <si>
    <t>Yes - On critical Firm data at least quarterly</t>
  </si>
  <si>
    <t>The Firm tests its backup and recovery procedures for critical data at least quarterly.</t>
  </si>
  <si>
    <t>The Firm may not be able to effectively recover from a data loss or data compromise cyber incident since recovery options will be limited due to the retention policy.</t>
  </si>
  <si>
    <t>Establish a backup retention policy which stores backups of critical data for 7 years or more.</t>
  </si>
  <si>
    <t>The Firm has prepared a Business Continuity Plan.</t>
  </si>
  <si>
    <t>Yes - At least annually</t>
  </si>
  <si>
    <t>The Business Continuity Plan is tested at least annually.</t>
  </si>
  <si>
    <t>The Firm has prepared a Disaster Recovery Plan.</t>
  </si>
  <si>
    <t>The Disaster Recovery Plan is tested at least annually.</t>
  </si>
  <si>
    <t xml:space="preserve">Yes - All </t>
  </si>
  <si>
    <t>Critical systems and data are replicated to a secondary site.</t>
  </si>
  <si>
    <t>Desktop hard drives are encrypted.</t>
  </si>
  <si>
    <t>Laptop hard drives are encrypted.</t>
  </si>
  <si>
    <t>Yes - Enforced via technology based control</t>
  </si>
  <si>
    <t>Encryption is enforced via technical control when sending confidential or sensitive documents to third parties.</t>
  </si>
  <si>
    <t>The Firm dictates where data can and can't be stored.</t>
  </si>
  <si>
    <t>Alerts regarding abnormal data handling behavior within the Firm's file system are generated and addressed within 24 hours.</t>
  </si>
  <si>
    <t>No - Only corporate managed devices can access email via web browser from trusted locations</t>
  </si>
  <si>
    <t>Email access via web browser is disabled.</t>
  </si>
  <si>
    <t>URLs within email messages are rewritten.</t>
  </si>
  <si>
    <t>Email attachments are tested for malicious code in a sandbox before being delivered to employee inboxes.</t>
  </si>
  <si>
    <t>Yes - By written policy and technical controls</t>
  </si>
  <si>
    <t>Personal computers cannot be used to conduct Firm business.</t>
  </si>
  <si>
    <t>Yes - Read and Write Access is Fully Disabled</t>
  </si>
  <si>
    <t xml:space="preserve">Removable media is disabled on all Firm computers.
</t>
  </si>
  <si>
    <t>Yes - It is required to connect to corporate systems for all devices</t>
  </si>
  <si>
    <t>MDM policies are enforced on phones and tablets before granting access to corporate resources.</t>
  </si>
  <si>
    <t>Mobile application management (MAM) software is deployed and enforced on mobile phones and tablets used for business purposes.</t>
  </si>
  <si>
    <t>Connected mobile devices are required to have up to date operating system software.</t>
  </si>
  <si>
    <t>Yes - 6 - 10 attempts</t>
  </si>
  <si>
    <t>Connected mobile devices are disabled upon 6 - 10 repeated password attempts.</t>
  </si>
  <si>
    <t>Disable connected phone and tablets after 5 or fewer failed authentication attempts.</t>
  </si>
  <si>
    <t>Yes - Greater than 2 minutes, less than 5 minutes</t>
  </si>
  <si>
    <t>Devices are locked after remaining idle for greater than 2 minutes but less than 5 minutes.</t>
  </si>
  <si>
    <t>Yes - Redundancy tests are performed at least  annually</t>
  </si>
  <si>
    <t xml:space="preserve">Availability of critical systems and services hosting Firm data is verified through annual (at least) testing.
</t>
  </si>
  <si>
    <t xml:space="preserve">Availability of critical systems and services hosting Firm data may unexpectedly fail if redundant controls are not tested.
</t>
  </si>
  <si>
    <t xml:space="preserve">Availability of critical systems and services hosting Firm data should be tested at least quarterly.
</t>
  </si>
  <si>
    <t>Redundant internet connectivity is in place in all office locations to maintain network availability.</t>
  </si>
  <si>
    <t>Yes - Failover tests are performed at least  annually</t>
  </si>
  <si>
    <t>Internet failover tests are conducted with adequate frequency at all office locations.</t>
  </si>
  <si>
    <t>Yes - Encouraged but not mandated</t>
  </si>
  <si>
    <t>Staff members encouraged to use mobile hotspots while travelling.</t>
  </si>
  <si>
    <t>The internal network is segmented to limit lateral movement.</t>
  </si>
  <si>
    <t>Yes - While working in the office (if applicable) and remotely</t>
  </si>
  <si>
    <t>A solution for web content filtering is in place while working from the office or remotely.</t>
  </si>
  <si>
    <t xml:space="preserve">Yes - IDS and IPS </t>
  </si>
  <si>
    <t>The Firm maintains an intrusion detection and prevention system which monitors and blocks malicious traffic on systems hosting critical data.</t>
  </si>
  <si>
    <t>The Firm maintains an endpoint-based intrusion detection and prevention system which monitors and blocks malicious traffic.</t>
  </si>
  <si>
    <t>Yes - Alerts are monitored by a dedicated SOC</t>
  </si>
  <si>
    <t>The Firm is utilizing a managed detection and response (MDR) solution.</t>
  </si>
  <si>
    <t xml:space="preserve">The Firm has a team responsible for deploying patches on corporate systems.
</t>
  </si>
  <si>
    <t xml:space="preserve">Workstation patching frequency aligns with industry best practice. 
</t>
  </si>
  <si>
    <t xml:space="preserve">Application patching frequency aligns with industry best practice. 
</t>
  </si>
  <si>
    <t>Environmental controls are in place to protect critical IT infrastructure.</t>
  </si>
  <si>
    <t>Visitor access logs are maintained.</t>
  </si>
  <si>
    <t>Yes - Keycard, FOB or smartphone app</t>
  </si>
  <si>
    <t>Access to the office(s) is restricted when reception is not staffed.</t>
  </si>
  <si>
    <t>Backup batteries are tested at least annually to ensure connected equipment remains online in the event of a power outage.</t>
  </si>
  <si>
    <t>External parties connecting to the Firm's environment are required to meet the Firm's cybersecurity hygiene standards.</t>
  </si>
  <si>
    <t xml:space="preserve">Data exfiltration to personal devices is not possible when accessing the Firm's data and systems remotely via containerized sessions. 
</t>
  </si>
  <si>
    <t>N/A - VPN based remote access is not available from personal devices</t>
  </si>
  <si>
    <t>Yes - Cloud solutions are used for remote connectivity from personal devices, and data exfiltration is identified and/or blocked</t>
  </si>
  <si>
    <t xml:space="preserve">Data exfiltration to personal devices is not possible when accessing the Firm's data and systems over the internet. 
</t>
  </si>
  <si>
    <t>No - Remote sessions from personal computers are containerized</t>
  </si>
  <si>
    <t>Remote access to the Firm's data and systems is not restricted to corporate owned computers, though remote sessions are containerized.</t>
  </si>
  <si>
    <t>Consider restricting access to corporate owned and managed devices.</t>
  </si>
  <si>
    <t>Multifactor authentication protects access to the Firm's network.</t>
  </si>
  <si>
    <t>A formal Incident Response Plan has been prepared and distributed Firm-wide.</t>
  </si>
  <si>
    <t>The Firm conducts due diligence exercises to assess the security posture of its service providers annually.</t>
  </si>
  <si>
    <t>The Firm conducts a cloud security assessment of its primary cloud platform annually.</t>
  </si>
  <si>
    <t>Yes - At least annually and upon hire</t>
  </si>
  <si>
    <t xml:space="preserve">Cybersecurity training is conducted at the Firm at least annually and upon hire. </t>
  </si>
  <si>
    <t>Yes - Semi-annually or more frequently</t>
  </si>
  <si>
    <t>Phishing campaigns are conducted for employees multiple times per year.</t>
  </si>
  <si>
    <t>Internal penetration tests are performed at least annually.</t>
  </si>
  <si>
    <t>External penetration tests are performed at least annually.</t>
  </si>
  <si>
    <t>Yes - External and internal</t>
  </si>
  <si>
    <t>Internal and external network vulnerability scans are conducted continuously.</t>
  </si>
  <si>
    <t>Vulnerability scanning against remote machines accessing Firm data and systems is performed.</t>
  </si>
  <si>
    <t xml:space="preserve">Yes - Dedicated internal IT person - Michael Young | Information Technology Director </t>
  </si>
  <si>
    <t>myoung@deerparkrd.com</t>
  </si>
  <si>
    <t>7+ Years</t>
  </si>
  <si>
    <t>ECI</t>
  </si>
  <si>
    <t>Brad Craig, COO
Michael Young, Information Technology Director
Joe Schwab, Compliance Manager
Eric McClelland</t>
  </si>
  <si>
    <t>1195 Bangtail Way | Steamboat Springs, CO 80487</t>
  </si>
  <si>
    <t>38</t>
  </si>
  <si>
    <t>Private Cloud File Server</t>
  </si>
  <si>
    <t>Other - Please specify - microsoft cloud PC</t>
  </si>
  <si>
    <t>Active Directory (Traditional) - Hybrid with Azure Active Directory</t>
  </si>
  <si>
    <t>molsen@eci.com</t>
  </si>
  <si>
    <t xml:space="preserve">All employees are granted administrative access to their local computers. </t>
  </si>
  <si>
    <t xml:space="preserve">All users are granted local administrative rights to their computers.
</t>
  </si>
  <si>
    <t xml:space="preserve">Users could circumvent or disable security controls and configurations (delay patch updates, disable computer auto-lock settings, etc.). Additionally, malware infections will be more impactful if run with administrative privileges.
</t>
  </si>
  <si>
    <t xml:space="preserve">Disable local administrative rights. If local administrative access is needed, a dedicated account should be used.
</t>
  </si>
  <si>
    <t>jvalle@drawbridgeco.com</t>
  </si>
  <si>
    <t>Yes - Ad Hoc</t>
  </si>
  <si>
    <t xml:space="preserve">Access controls are reviewed on an ad hoc basis to ensure appropriate rights are configured. </t>
  </si>
  <si>
    <t>A compromised user account with inappropriate access rights may give intruders access to sensitive information. Inappropriate rights can also result in the accidental or intentional deletion or corruption of confidential data.</t>
  </si>
  <si>
    <t>Review user access rights annually (or more frequently) to confirm appropriate access has  been granted based on each employee's business need and job function.</t>
  </si>
  <si>
    <t>Yes - 1 - 5 attempts - 5 attempts</t>
  </si>
  <si>
    <t>Employees are locked out of their accounts after 5 or fewer incorrect login attempts.</t>
  </si>
  <si>
    <t>Yes - 15 minutes or more - 60 Minutes</t>
  </si>
  <si>
    <t>The current account lockout duration is 15 minutes or more.</t>
  </si>
  <si>
    <t xml:space="preserve">A threat actor will have greater opportunity to correctly guess a password if a permanent account lockout period is not in place. </t>
  </si>
  <si>
    <t>Consider requiring administrative intervention to unlock accounts if locked.</t>
  </si>
  <si>
    <t>12 characters or more - multifactor authentication is enforced - 16 Characters</t>
  </si>
  <si>
    <t>Password character count requirements align with industry best practices.</t>
  </si>
  <si>
    <t>Password expiration is greater than 90 days. Multifactor authentication is enforced. - 365 days</t>
  </si>
  <si>
    <t>Yes - At least 10 passwords are remembered - 24 passwords remembered</t>
  </si>
  <si>
    <t>At least 10 passwords are remembered.</t>
  </si>
  <si>
    <t>NA</t>
  </si>
  <si>
    <t>N/A - No hardware or software has reached end of life</t>
  </si>
  <si>
    <t>Logging is enabled on all servers.</t>
  </si>
  <si>
    <t>The Firm's server log retention policy aligns with best practices.</t>
  </si>
  <si>
    <t>Yes - SIEM log aggregation and alerting is in place</t>
  </si>
  <si>
    <t>Yes - On Firm mailboxes at least quarterly</t>
  </si>
  <si>
    <t>The Firm regularly tests its backup and recovery procedures for email through mailbox restorations.</t>
  </si>
  <si>
    <t>8 - 90 days</t>
  </si>
  <si>
    <t>Email hosted by a public cloud provider is backed up and retained for 8 - 90 days.</t>
  </si>
  <si>
    <t>The Firm may not be able to effectively recover from a data loss or email compromise cyber incident since recovery options will be limited due to the retention policy.</t>
  </si>
  <si>
    <t>Establish a backup retention policy which stores backups of cloud provider hosted email for 7 years or more.</t>
  </si>
  <si>
    <t>Data backups are retained for 8 - 90 days.</t>
  </si>
  <si>
    <t>Voice data is backed up regularly.</t>
  </si>
  <si>
    <t xml:space="preserve">Controls that actively block exfiltration of sensitive data based on classification and/or content are not in place.
</t>
  </si>
  <si>
    <t xml:space="preserve">Sensitive data exfiltration will be more likely if preventative controls are not in place.
</t>
  </si>
  <si>
    <t xml:space="preserve">Implement controls which identify, alert, and block unauthorized transfers of sensitive data or content.
</t>
  </si>
  <si>
    <t>Confidential data within the Firm's environment is not identified and classified based on sensitivity.</t>
  </si>
  <si>
    <t>Conduct a review of the Firm's data to identify sensitive or confidential information. Determine the required level of protections that should be applied to this data, and consider implementing a data tagging system.</t>
  </si>
  <si>
    <t>Server hard drives are encrypted.</t>
  </si>
  <si>
    <t>No - Any device can access email via email application.</t>
  </si>
  <si>
    <t>Any device can access Firm email via an email client.</t>
  </si>
  <si>
    <t>Vulnerable or compromised devices may be used to attack the Firm's environment when connected.  Additionally, data exfiltration is more likely if unauthorized devices are allowed to connect to corporate email.</t>
  </si>
  <si>
    <t>Only allow authorized devices access to Firm email to ensure connected devices meet the Firm's security standards.</t>
  </si>
  <si>
    <t>Yes - Authenticator App Only</t>
  </si>
  <si>
    <t>Multifactor authentication is required for web-based email access via authenticator app only.</t>
  </si>
  <si>
    <t>Duo</t>
  </si>
  <si>
    <t>Yes - Proofpoint</t>
  </si>
  <si>
    <t>Yes - Phones and tablets which are at most one version behind are blocked from accessing Firm data.</t>
  </si>
  <si>
    <t>Yes - 4 - 5 digits required</t>
  </si>
  <si>
    <t>A password requirement of 4 to 5 digits is enforced for connected mobile devices.</t>
  </si>
  <si>
    <t>An attacker could compromise Firm data via a connected mobile device that's not properly protected.</t>
  </si>
  <si>
    <t>Enforce a PIN authentication requirement of 6 digits or more for all connected mobile devices.</t>
  </si>
  <si>
    <t>Intra VLAN communication is restricted.</t>
  </si>
  <si>
    <t>SentinelOne</t>
  </si>
  <si>
    <t xml:space="preserve">Server patching frequency aligns with industry best practices.
</t>
  </si>
  <si>
    <t>Ad Hoc</t>
  </si>
  <si>
    <t>Networking equipment patches are reviewed and/or applied on an ad hoc basis.</t>
  </si>
  <si>
    <t>Unpatched networking equipment will expose the Firm to known exploits for vulnerabilities found on unpatched systems.</t>
  </si>
  <si>
    <t>Develop a monthly patch review and/or application cadence for networking equipment.</t>
  </si>
  <si>
    <t>CCTV with 7 or more days' recording retention in use at the Firm's office space(s).</t>
  </si>
  <si>
    <t>CCTV with 7 or more days' recording retention in use at the Firm's data center(s).</t>
  </si>
  <si>
    <t>Data center alarms are in place.</t>
  </si>
  <si>
    <t>N/A - Personal devices are restricted from accessing Firm resources via containerized sessions</t>
  </si>
  <si>
    <t>A full tunnel configuration is used for VPN connections.</t>
  </si>
  <si>
    <t>Remote access to the Firm's data and systems is restricted to corporate owned mobile phones.</t>
  </si>
  <si>
    <t>Yes - Duo</t>
  </si>
  <si>
    <t>Yes - Performed at least annually</t>
  </si>
  <si>
    <t>Tabletop exercises are performed at least annually.</t>
  </si>
  <si>
    <t>No Employees are exempt from fully adhering to the Firm's cybersecurity policies.</t>
  </si>
  <si>
    <t>A password which is changed on an ad hoc basis.</t>
  </si>
  <si>
    <t>A password is used for internal Wi-Fi access. The rate at which the Wi-Fi password is rotated does not meet best practices.</t>
  </si>
  <si>
    <t>Password based authentication does not offer adequate protection for internal Wi-Fi networks as passwords can be cracked, guessed, or exposed unintentionally.</t>
  </si>
  <si>
    <t>Strong authentication controls should be used to connect to internal Wi-Fi (RADIUS, certificates, etc.).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</si>
</sst>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ptos Narrow"/>
      <family val="2"/>
      <scheme val="minor"/>
    </font>
    <font>
      <sz val="11"/>
      <name val="Aptos Narrow"/>
      <family val="2"/>
      <scheme val="minor"/>
    </font>
    <font>
      <b/>
      <sz val="12"/>
      <color theme="0"/>
      <name val="Aptos Narrow"/>
      <family val="2"/>
      <scheme val="minor"/>
    </font>
    <font>
      <i/>
      <sz val="11"/>
      <color theme="1"/>
      <name val="Aptos Narrow"/>
      <family val="2"/>
      <scheme val="minor"/>
    </font>
    <font>
      <b/>
      <sz val="11"/>
      <color rgb="FF000000"/>
      <name val="Calibri"/>
      <family val="2"/>
    </font>
    <font>
      <b/>
      <sz val="11"/>
      <color rgb="FFF94E55"/>
      <name val="Calibri"/>
      <family val="2"/>
    </font>
    <font>
      <b/>
      <sz val="11"/>
      <color rgb="FFF88114"/>
      <name val="Calibri"/>
      <family val="2"/>
    </font>
    <font>
      <b/>
      <sz val="11"/>
      <color rgb="FFECC53C"/>
      <name val="Calibri"/>
      <family val="2"/>
    </font>
    <font>
      <sz val="12"/>
      <name val="Calibri"/>
      <family val="2"/>
    </font>
    <font>
      <b/>
      <sz val="12"/>
      <color theme="1"/>
      <name val="Aptos Narrow"/>
      <family val="2"/>
      <scheme val="minor"/>
    </font>
    <font>
      <b/>
      <sz val="14"/>
      <color theme="0"/>
      <name val="Aptos Narrow"/>
      <family val="2"/>
      <scheme val="minor"/>
    </font>
  </fonts>
  <fills count="11">
    <fill>
      <patternFill patternType="none"/>
    </fill>
    <fill>
      <patternFill patternType="gray125"/>
    </fill>
    <fill>
      <patternFill patternType="solid">
        <fgColor theme="5"/>
        <bgColor indexed="64"/>
      </patternFill>
    </fill>
    <fill>
      <patternFill patternType="solid">
        <fgColor theme="0" tint="-4.9989318521683403E-2"/>
        <bgColor indexed="64"/>
      </patternFill>
    </fill>
    <fill>
      <patternFill patternType="solid">
        <fgColor rgb="FFFF0000"/>
        <bgColor indexed="64"/>
      </patternFill>
    </fill>
    <fill>
      <patternFill patternType="solid">
        <fgColor rgb="FFFF9900"/>
        <bgColor indexed="64"/>
      </patternFill>
    </fill>
    <fill>
      <patternFill patternType="solid">
        <fgColor rgb="FFFFFF00"/>
        <bgColor indexed="64"/>
      </patternFill>
    </fill>
    <fill>
      <patternFill patternType="solid">
        <fgColor rgb="FF92D050"/>
        <bgColor indexed="64"/>
      </patternFill>
    </fill>
    <fill>
      <patternFill patternType="solid">
        <fgColor rgb="FF2F75B5"/>
        <bgColor indexed="64"/>
      </patternFill>
    </fill>
    <fill>
      <patternFill patternType="solid">
        <fgColor theme="9" tint="-0.499984740745262"/>
        <bgColor indexed="64"/>
      </patternFill>
    </fill>
    <fill>
      <patternFill patternType="solid">
        <fgColor rgb="FFE2EFDA"/>
        <bgColor indexed="64"/>
      </patternFill>
    </fill>
  </fills>
  <borders count="67">
    <border>
      <left/>
      <right/>
      <top/>
      <bottom/>
      <diagonal/>
    </border>
    <border>
      <left style="medium">
        <color indexed="64"/>
      </left>
      <right/>
      <top/>
      <bottom/>
      <diagonal/>
    </border>
    <border>
      <left style="medium">
        <color indexed="64"/>
      </left>
      <right/>
      <top style="thin">
        <color indexed="64"/>
      </top>
      <bottom style="thick">
        <color theme="5"/>
      </bottom>
      <diagonal/>
    </border>
    <border>
      <left/>
      <right/>
      <top style="thin">
        <color indexed="64"/>
      </top>
      <bottom style="thick">
        <color theme="5"/>
      </bottom>
      <diagonal/>
    </border>
    <border>
      <left/>
      <right/>
      <top style="thick">
        <color theme="1"/>
      </top>
      <bottom/>
      <diagonal/>
    </border>
    <border>
      <left style="medium">
        <color indexed="64"/>
      </left>
      <right style="medium">
        <color indexed="64"/>
      </right>
      <top style="thick">
        <color theme="1"/>
      </top>
      <bottom style="thick">
        <color theme="1"/>
      </bottom>
      <diagonal/>
    </border>
    <border>
      <left style="medium">
        <color indexed="64"/>
      </left>
      <right style="medium">
        <color indexed="64"/>
      </right>
      <top style="thick">
        <color theme="1"/>
      </top>
      <bottom/>
      <diagonal/>
    </border>
    <border>
      <left style="medium">
        <color indexed="64"/>
      </left>
      <right style="medium">
        <color indexed="64"/>
      </right>
      <top/>
      <bottom style="thick">
        <color theme="1"/>
      </bottom>
      <diagonal/>
    </border>
    <border>
      <left style="medium">
        <color indexed="64"/>
      </left>
      <right style="medium">
        <color indexed="64"/>
      </right>
      <top/>
      <bottom/>
      <diagonal/>
    </border>
    <border>
      <left/>
      <right style="thin">
        <color indexed="64"/>
      </right>
      <top/>
      <bottom/>
      <diagonal/>
    </border>
    <border>
      <left style="medium">
        <color indexed="64"/>
      </left>
      <right style="medium">
        <color theme="1"/>
      </right>
      <top style="medium">
        <color theme="1"/>
      </top>
      <bottom/>
      <diagonal/>
    </border>
    <border>
      <left style="medium">
        <color indexed="64"/>
      </left>
      <right style="medium">
        <color theme="1"/>
      </right>
      <top/>
      <bottom/>
      <diagonal/>
    </border>
    <border>
      <left style="medium">
        <color indexed="64"/>
      </left>
      <right style="medium">
        <color theme="1"/>
      </right>
      <top/>
      <bottom style="medium">
        <color theme="1"/>
      </bottom>
      <diagonal/>
    </border>
    <border>
      <left style="medium">
        <color indexed="64"/>
      </left>
      <right style="medium">
        <color theme="1"/>
      </right>
      <top style="medium">
        <color theme="1"/>
      </top>
      <bottom style="thin">
        <color indexed="64"/>
      </bottom>
      <diagonal/>
    </border>
    <border>
      <left style="medium">
        <color indexed="64"/>
      </left>
      <right style="medium">
        <color theme="1"/>
      </right>
      <top style="thin">
        <color indexed="64"/>
      </top>
      <bottom style="thin">
        <color indexed="64"/>
      </bottom>
      <diagonal/>
    </border>
    <border>
      <left style="medium">
        <color indexed="64"/>
      </left>
      <right style="medium">
        <color theme="1"/>
      </right>
      <top style="thin">
        <color indexed="64"/>
      </top>
      <bottom style="medium">
        <color theme="1"/>
      </bottom>
      <diagonal/>
    </border>
    <border>
      <left style="medium">
        <color indexed="64"/>
      </left>
      <right style="medium">
        <color theme="1"/>
      </right>
      <top style="thin">
        <color indexed="64"/>
      </top>
      <bottom style="thick">
        <color theme="5"/>
      </bottom>
      <diagonal/>
    </border>
    <border>
      <left style="medium">
        <color indexed="64"/>
      </left>
      <right style="medium">
        <color theme="1"/>
      </right>
      <top style="thick">
        <color theme="5"/>
      </top>
      <bottom style="thin">
        <color indexed="64"/>
      </bottom>
      <diagonal/>
    </border>
    <border>
      <left style="medium">
        <color indexed="64"/>
      </left>
      <right style="medium">
        <color theme="1"/>
      </right>
      <top/>
      <bottom style="thick">
        <color theme="5"/>
      </bottom>
      <diagonal/>
    </border>
    <border>
      <left style="medium">
        <color indexed="64"/>
      </left>
      <right style="medium">
        <color theme="1"/>
      </right>
      <top style="thick">
        <color theme="5"/>
      </top>
      <bottom/>
      <diagonal/>
    </border>
    <border>
      <left style="medium">
        <color theme="1"/>
      </left>
      <right style="thin">
        <color indexed="64"/>
      </right>
      <top style="medium">
        <color theme="1"/>
      </top>
      <bottom style="medium">
        <color theme="1"/>
      </bottom>
      <diagonal/>
    </border>
    <border>
      <left style="medium">
        <color indexed="64"/>
      </left>
      <right/>
      <top style="medium">
        <color theme="1"/>
      </top>
      <bottom style="medium">
        <color theme="1"/>
      </bottom>
      <diagonal/>
    </border>
    <border>
      <left style="medium">
        <color theme="1"/>
      </left>
      <right style="thin">
        <color indexed="64"/>
      </right>
      <top style="medium">
        <color theme="1"/>
      </top>
      <bottom style="thick">
        <color theme="5"/>
      </bottom>
      <diagonal/>
    </border>
    <border>
      <left style="medium">
        <color indexed="64"/>
      </left>
      <right/>
      <top/>
      <bottom style="thick">
        <color theme="5"/>
      </bottom>
      <diagonal/>
    </border>
    <border>
      <left style="medium">
        <color theme="1"/>
      </left>
      <right style="thin">
        <color indexed="64"/>
      </right>
      <top style="thick">
        <color theme="5"/>
      </top>
      <bottom style="medium">
        <color theme="1"/>
      </bottom>
      <diagonal/>
    </border>
    <border>
      <left style="medium">
        <color theme="1"/>
      </left>
      <right style="thin">
        <color indexed="64"/>
      </right>
      <top style="hair">
        <color theme="1"/>
      </top>
      <bottom style="medium">
        <color theme="1"/>
      </bottom>
      <diagonal/>
    </border>
    <border>
      <left style="medium">
        <color theme="1"/>
      </left>
      <right style="thin">
        <color indexed="64"/>
      </right>
      <top style="thick">
        <color theme="5"/>
      </top>
      <bottom/>
      <diagonal/>
    </border>
    <border>
      <left style="medium">
        <color theme="1"/>
      </left>
      <right style="thin">
        <color indexed="64"/>
      </right>
      <top style="hair">
        <color theme="1"/>
      </top>
      <bottom/>
      <diagonal/>
    </border>
    <border>
      <left style="medium">
        <color theme="1"/>
      </left>
      <right style="thin">
        <color indexed="64"/>
      </right>
      <top style="medium">
        <color theme="1"/>
      </top>
      <bottom/>
      <diagonal/>
    </border>
    <border>
      <left style="medium">
        <color theme="1"/>
      </left>
      <right style="thin">
        <color indexed="64"/>
      </right>
      <top style="hair">
        <color theme="1"/>
      </top>
      <bottom style="hair">
        <color theme="1"/>
      </bottom>
      <diagonal/>
    </border>
    <border>
      <left style="medium">
        <color theme="1"/>
      </left>
      <right style="thin">
        <color indexed="64"/>
      </right>
      <top style="medium">
        <color theme="1"/>
      </top>
      <bottom style="hair">
        <color theme="1"/>
      </bottom>
      <diagonal/>
    </border>
    <border>
      <left style="medium">
        <color theme="1"/>
      </left>
      <right style="thin">
        <color indexed="64"/>
      </right>
      <top style="hair">
        <color theme="1"/>
      </top>
      <bottom style="thick">
        <color theme="5"/>
      </bottom>
      <diagonal/>
    </border>
    <border>
      <left style="medium">
        <color theme="1"/>
      </left>
      <right style="thin">
        <color indexed="64"/>
      </right>
      <top style="thick">
        <color theme="5"/>
      </top>
      <bottom style="hair">
        <color theme="1"/>
      </bottom>
      <diagonal/>
    </border>
    <border>
      <left/>
      <right style="thin">
        <color indexed="64"/>
      </right>
      <top style="medium">
        <color theme="1"/>
      </top>
      <bottom/>
      <diagonal/>
    </border>
    <border>
      <left/>
      <right style="thin">
        <color indexed="64"/>
      </right>
      <top style="thick">
        <color theme="5"/>
      </top>
      <bottom/>
      <diagonal/>
    </border>
    <border>
      <left/>
      <right/>
      <top style="thick">
        <color indexed="64"/>
      </top>
      <bottom/>
      <diagonal/>
    </border>
    <border>
      <left style="medium">
        <color theme="1"/>
      </left>
      <right style="thin">
        <color indexed="64"/>
      </right>
      <top style="medium">
        <color theme="1"/>
      </top>
      <bottom style="thick">
        <color indexed="64"/>
      </bottom>
      <diagonal/>
    </border>
    <border>
      <left style="medium">
        <color indexed="64"/>
      </left>
      <right/>
      <top style="medium">
        <color theme="1"/>
      </top>
      <bottom/>
      <diagonal/>
    </border>
    <border>
      <left style="thick">
        <color indexed="64"/>
      </left>
      <right style="thick">
        <color indexed="64"/>
      </right>
      <top style="medium">
        <color indexed="64"/>
      </top>
      <bottom/>
      <diagonal/>
    </border>
    <border>
      <left style="thick">
        <color indexed="64"/>
      </left>
      <right style="thick">
        <color indexed="64"/>
      </right>
      <top/>
      <bottom/>
      <diagonal/>
    </border>
    <border>
      <left style="thick">
        <color indexed="64"/>
      </left>
      <right style="thick">
        <color indexed="64"/>
      </right>
      <top style="thick">
        <color indexed="64"/>
      </top>
      <bottom/>
      <diagonal/>
    </border>
    <border>
      <left style="thick">
        <color indexed="64"/>
      </left>
      <right style="thick">
        <color indexed="64"/>
      </right>
      <top/>
      <bottom style="thick">
        <color indexed="64"/>
      </bottom>
      <diagonal/>
    </border>
    <border>
      <left style="medium">
        <color indexed="64"/>
      </left>
      <right/>
      <top style="thick">
        <color indexed="64"/>
      </top>
      <bottom style="thin">
        <color indexed="64"/>
      </bottom>
      <diagonal/>
    </border>
    <border>
      <left/>
      <right/>
      <top style="thick">
        <color indexed="64"/>
      </top>
      <bottom style="thin">
        <color indexed="64"/>
      </bottom>
      <diagonal/>
    </border>
    <border>
      <left/>
      <right style="thick">
        <color indexed="64"/>
      </right>
      <top style="thick">
        <color indexed="64"/>
      </top>
      <bottom style="thin">
        <color indexed="64"/>
      </bottom>
      <diagonal/>
    </border>
    <border>
      <left style="medium">
        <color indexed="64"/>
      </left>
      <right style="medium">
        <color indexed="64"/>
      </right>
      <top style="thick">
        <color indexed="64"/>
      </top>
      <bottom style="thick">
        <color theme="1"/>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style="thick">
        <color indexed="64"/>
      </right>
      <top/>
      <bottom/>
      <diagonal/>
    </border>
    <border>
      <left/>
      <right style="thick">
        <color indexed="64"/>
      </right>
      <top/>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ck">
        <color theme="5"/>
      </top>
      <bottom style="thin">
        <color indexed="64"/>
      </bottom>
      <diagonal/>
    </border>
    <border>
      <left style="thin">
        <color indexed="64"/>
      </left>
      <right style="thick">
        <color indexed="64"/>
      </right>
      <top style="thin">
        <color indexed="64"/>
      </top>
      <bottom/>
      <diagonal/>
    </border>
    <border>
      <left style="thin">
        <color indexed="64"/>
      </left>
      <right style="thick">
        <color indexed="64"/>
      </right>
      <top/>
      <bottom style="thin">
        <color indexed="64"/>
      </bottom>
      <diagonal/>
    </border>
    <border>
      <left style="thin">
        <color indexed="64"/>
      </left>
      <right style="thick">
        <color indexed="64"/>
      </right>
      <top style="thin">
        <color indexed="64"/>
      </top>
      <bottom style="thick">
        <color theme="5"/>
      </bottom>
      <diagonal/>
    </border>
    <border>
      <left style="thin">
        <color indexed="64"/>
      </left>
      <right style="thick">
        <color indexed="64"/>
      </right>
      <top/>
      <bottom style="thick">
        <color theme="5"/>
      </bottom>
      <diagonal/>
    </border>
    <border>
      <left style="thick">
        <color indexed="64"/>
      </left>
      <right style="thick">
        <color indexed="64"/>
      </right>
      <top/>
      <bottom style="medium">
        <color indexed="64"/>
      </bottom>
      <diagonal/>
    </border>
    <border>
      <left style="thick">
        <color indexed="64"/>
      </left>
      <right style="thick">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ck">
        <color indexed="64"/>
      </left>
      <right style="thick">
        <color indexed="64"/>
      </right>
      <top style="hair">
        <color indexed="64"/>
      </top>
      <bottom style="medium">
        <color indexed="64"/>
      </bottom>
      <diagonal/>
    </border>
    <border>
      <left style="thick">
        <color indexed="64"/>
      </left>
      <right style="thick">
        <color indexed="64"/>
      </right>
      <top style="hair">
        <color indexed="64"/>
      </top>
      <bottom/>
      <diagonal/>
    </border>
    <border>
      <left style="thick">
        <color indexed="64"/>
      </left>
      <right style="thick">
        <color indexed="64"/>
      </right>
      <top style="hair">
        <color indexed="64"/>
      </top>
      <bottom style="hair">
        <color indexed="64"/>
      </bottom>
      <diagonal/>
    </border>
    <border>
      <left style="thick">
        <color indexed="64"/>
      </left>
      <right style="thick">
        <color indexed="64"/>
      </right>
      <top style="medium">
        <color indexed="64"/>
      </top>
      <bottom style="hair">
        <color indexed="64"/>
      </bottom>
      <diagonal/>
    </border>
    <border>
      <left style="thick">
        <color indexed="64"/>
      </left>
      <right/>
      <top/>
      <bottom/>
      <diagonal/>
    </border>
    <border>
      <left style="thick">
        <color indexed="64"/>
      </left>
      <right style="thick">
        <color indexed="64"/>
      </right>
      <top style="hair">
        <color indexed="64"/>
      </top>
      <bottom style="thick">
        <color indexed="64"/>
      </bottom>
      <diagonal/>
    </border>
  </borders>
  <cellStyleXfs count="2">
    <xf numFmtId="0" fontId="0" fillId="0" borderId="0"/>
    <xf numFmtId="0" fontId="8" fillId="0" borderId="0"/>
  </cellStyleXfs>
  <cellXfs count="118">
    <xf numFmtId="0" fontId="0" fillId="0" borderId="0" xfId="0"/>
    <xf numFmtId="0" fontId="0" fillId="0" borderId="0" xfId="0" applyAlignment="1">
      <alignment vertical="center" wrapText="1"/>
    </xf>
    <xf numFmtId="0" fontId="0" fillId="0" borderId="0" xfId="0" applyAlignment="1">
      <alignment horizontal="center" vertical="center" wrapText="1"/>
    </xf>
    <xf numFmtId="0" fontId="0" fillId="0" borderId="0" xfId="0" applyAlignment="1">
      <alignment horizontal="center" vertical="center"/>
    </xf>
    <xf numFmtId="0" fontId="0" fillId="0" borderId="4" xfId="0" applyBorder="1" applyAlignment="1">
      <alignment vertical="center" wrapText="1"/>
    </xf>
    <xf numFmtId="0" fontId="1" fillId="0" borderId="9" xfId="0" applyFont="1" applyBorder="1" applyAlignment="1">
      <alignment vertical="center"/>
    </xf>
    <xf numFmtId="0" fontId="1" fillId="3" borderId="20" xfId="0" applyFont="1" applyFill="1" applyBorder="1" applyAlignment="1">
      <alignment vertical="center"/>
    </xf>
    <xf numFmtId="0" fontId="1" fillId="0" borderId="20" xfId="0" applyFont="1" applyBorder="1" applyAlignment="1">
      <alignment vertical="center"/>
    </xf>
    <xf numFmtId="0" fontId="1" fillId="3" borderId="22" xfId="0" applyFont="1" applyFill="1" applyBorder="1" applyAlignment="1">
      <alignment vertical="center"/>
    </xf>
    <xf numFmtId="0" fontId="1" fillId="0" borderId="24" xfId="0" applyFont="1" applyBorder="1" applyAlignment="1">
      <alignment vertical="center"/>
    </xf>
    <xf numFmtId="0" fontId="1" fillId="0" borderId="26" xfId="0" applyFont="1" applyBorder="1" applyAlignment="1">
      <alignment vertical="center"/>
    </xf>
    <xf numFmtId="0" fontId="1" fillId="0" borderId="25" xfId="0" applyFont="1" applyBorder="1" applyAlignment="1">
      <alignment vertical="center"/>
    </xf>
    <xf numFmtId="0" fontId="1" fillId="0" borderId="27" xfId="0" applyFont="1" applyBorder="1" applyAlignment="1">
      <alignment vertical="center"/>
    </xf>
    <xf numFmtId="0" fontId="1" fillId="3" borderId="27" xfId="0" applyFont="1" applyFill="1" applyBorder="1" applyAlignment="1">
      <alignment vertical="center"/>
    </xf>
    <xf numFmtId="0" fontId="1" fillId="0" borderId="28" xfId="0" applyFont="1" applyBorder="1" applyAlignment="1">
      <alignment vertical="center"/>
    </xf>
    <xf numFmtId="0" fontId="1" fillId="0" borderId="29" xfId="0" applyFont="1" applyBorder="1" applyAlignment="1">
      <alignment vertical="center"/>
    </xf>
    <xf numFmtId="0" fontId="1" fillId="3" borderId="30" xfId="0" applyFont="1" applyFill="1" applyBorder="1" applyAlignment="1">
      <alignment vertical="center"/>
    </xf>
    <xf numFmtId="0" fontId="1" fillId="3" borderId="29" xfId="0" applyFont="1" applyFill="1" applyBorder="1" applyAlignment="1">
      <alignment vertical="center"/>
    </xf>
    <xf numFmtId="0" fontId="1" fillId="3" borderId="9" xfId="0" applyFont="1" applyFill="1" applyBorder="1" applyAlignment="1">
      <alignment vertical="center"/>
    </xf>
    <xf numFmtId="0" fontId="1" fillId="0" borderId="30" xfId="0" applyFont="1" applyBorder="1" applyAlignment="1">
      <alignment vertical="center"/>
    </xf>
    <xf numFmtId="0" fontId="1" fillId="3" borderId="31" xfId="0" applyFont="1" applyFill="1" applyBorder="1" applyAlignment="1">
      <alignment vertical="center"/>
    </xf>
    <xf numFmtId="0" fontId="1" fillId="0" borderId="32" xfId="0" applyFont="1" applyBorder="1" applyAlignment="1">
      <alignment vertical="center"/>
    </xf>
    <xf numFmtId="0" fontId="1" fillId="0" borderId="33" xfId="0" applyFont="1" applyBorder="1" applyAlignment="1">
      <alignment vertical="center"/>
    </xf>
    <xf numFmtId="0" fontId="1" fillId="3" borderId="33" xfId="0" applyFont="1" applyFill="1" applyBorder="1" applyAlignment="1">
      <alignment vertical="center"/>
    </xf>
    <xf numFmtId="0" fontId="1" fillId="3" borderId="25" xfId="0" applyFont="1" applyFill="1" applyBorder="1" applyAlignment="1">
      <alignment vertical="center"/>
    </xf>
    <xf numFmtId="0" fontId="1" fillId="0" borderId="34" xfId="0" applyFont="1" applyBorder="1" applyAlignment="1">
      <alignment vertical="center"/>
    </xf>
    <xf numFmtId="0" fontId="3" fillId="0" borderId="1" xfId="0" applyFont="1" applyBorder="1" applyAlignment="1">
      <alignment horizontal="center" vertical="center" wrapText="1"/>
    </xf>
    <xf numFmtId="0" fontId="3" fillId="0" borderId="21" xfId="0" applyFont="1" applyBorder="1" applyAlignment="1">
      <alignment horizontal="center" vertical="center" wrapText="1"/>
    </xf>
    <xf numFmtId="0" fontId="3" fillId="0" borderId="23" xfId="0" applyFont="1" applyBorder="1" applyAlignment="1">
      <alignment horizontal="center" vertical="center" wrapText="1"/>
    </xf>
    <xf numFmtId="0" fontId="0" fillId="0" borderId="0" xfId="0" applyAlignment="1">
      <alignment vertical="center"/>
    </xf>
    <xf numFmtId="0" fontId="0" fillId="0" borderId="0" xfId="0" applyAlignment="1">
      <alignment vertical="center"/>
      <extLst>
        <ext xmlns:xfpb="http://schemas.microsoft.com/office/spreadsheetml/2022/featurepropertybag" uri="{C7286773-470A-42A8-94C5-96B5CB345126}">
          <xfpb:xfComplement i="0"/>
        </ext>
      </extLst>
    </xf>
    <xf numFmtId="0" fontId="0" fillId="0" borderId="35" xfId="0" applyBorder="1" applyAlignment="1">
      <alignment horizontal="center" vertical="center"/>
    </xf>
    <xf numFmtId="0" fontId="1" fillId="3" borderId="36" xfId="0" applyFont="1" applyFill="1" applyBorder="1" applyAlignment="1">
      <alignment vertical="center"/>
    </xf>
    <xf numFmtId="0" fontId="3" fillId="0" borderId="37" xfId="0" applyFont="1" applyBorder="1" applyAlignment="1">
      <alignment horizontal="center" vertical="center" wrapText="1"/>
    </xf>
    <xf numFmtId="0" fontId="0" fillId="0" borderId="35" xfId="0" applyBorder="1" applyAlignment="1">
      <alignment horizontal="center" vertical="center" wrapText="1"/>
    </xf>
    <xf numFmtId="0" fontId="2" fillId="2" borderId="45" xfId="0" applyFont="1" applyFill="1" applyBorder="1" applyAlignment="1">
      <alignment horizontal="center" vertical="center" wrapText="1"/>
    </xf>
    <xf numFmtId="0" fontId="0" fillId="0" borderId="40" xfId="0" applyBorder="1" applyAlignment="1">
      <alignment horizontal="center" vertical="center"/>
    </xf>
    <xf numFmtId="0" fontId="0" fillId="3" borderId="48" xfId="0" applyFill="1" applyBorder="1" applyAlignment="1">
      <alignment horizontal="center" vertical="center"/>
    </xf>
    <xf numFmtId="0" fontId="0" fillId="0" borderId="48" xfId="0" applyBorder="1" applyAlignment="1">
      <alignment vertical="center"/>
    </xf>
    <xf numFmtId="0" fontId="0" fillId="0" borderId="39" xfId="0" applyBorder="1" applyAlignment="1">
      <alignment horizontal="center" vertical="center"/>
    </xf>
    <xf numFmtId="0" fontId="0" fillId="3" borderId="39" xfId="0" applyFill="1" applyBorder="1" applyAlignment="1">
      <alignment horizontal="center" vertical="center"/>
    </xf>
    <xf numFmtId="0" fontId="0" fillId="0" borderId="51" xfId="0" applyBorder="1" applyAlignment="1">
      <alignment horizontal="center" vertical="center"/>
    </xf>
    <xf numFmtId="0" fontId="0" fillId="3" borderId="51" xfId="0" applyFill="1" applyBorder="1" applyAlignment="1">
      <alignment horizontal="center" vertical="center"/>
    </xf>
    <xf numFmtId="0" fontId="0" fillId="0" borderId="52" xfId="0" applyBorder="1" applyAlignment="1">
      <alignment horizontal="center" vertical="center"/>
    </xf>
    <xf numFmtId="0" fontId="0" fillId="0" borderId="53" xfId="0" applyBorder="1" applyAlignment="1">
      <alignment horizontal="center" vertical="center"/>
    </xf>
    <xf numFmtId="0" fontId="0" fillId="3" borderId="52" xfId="0" applyFill="1" applyBorder="1" applyAlignment="1">
      <alignment horizontal="center" vertical="center"/>
    </xf>
    <xf numFmtId="0" fontId="0" fillId="0" borderId="55" xfId="0" applyBorder="1" applyAlignment="1">
      <alignment horizontal="center" vertical="center"/>
    </xf>
    <xf numFmtId="0" fontId="0" fillId="3" borderId="56" xfId="0" applyFill="1" applyBorder="1" applyAlignment="1">
      <alignment horizontal="center" vertical="center"/>
    </xf>
    <xf numFmtId="0" fontId="0" fillId="3" borderId="54" xfId="0" applyFill="1" applyBorder="1" applyAlignment="1">
      <alignment horizontal="center" vertical="center"/>
    </xf>
    <xf numFmtId="0" fontId="0" fillId="0" borderId="38" xfId="0" applyBorder="1" applyAlignment="1">
      <alignment horizontal="center" vertical="center"/>
    </xf>
    <xf numFmtId="0" fontId="0" fillId="3" borderId="58" xfId="0" applyFill="1" applyBorder="1" applyAlignment="1">
      <alignment horizontal="center" vertical="center"/>
    </xf>
    <xf numFmtId="0" fontId="0" fillId="3" borderId="38" xfId="0" applyFill="1" applyBorder="1" applyAlignment="1">
      <alignment horizontal="center" vertical="center"/>
    </xf>
    <xf numFmtId="0" fontId="0" fillId="3" borderId="59" xfId="0" applyFill="1" applyBorder="1" applyAlignment="1">
      <alignment horizontal="center" vertical="center"/>
    </xf>
    <xf numFmtId="0" fontId="0" fillId="4" borderId="0" xfId="0" applyFill="1"/>
    <xf numFmtId="0" fontId="0" fillId="5" borderId="0" xfId="0" applyFill="1"/>
    <xf numFmtId="0" fontId="0" fillId="6" borderId="0" xfId="0" applyFill="1"/>
    <xf numFmtId="14" fontId="0" fillId="0" borderId="0" xfId="0" applyNumberFormat="1"/>
    <xf numFmtId="0" fontId="0" fillId="7" borderId="0" xfId="0" applyFill="1"/>
    <xf numFmtId="0" fontId="0" fillId="0" borderId="61" xfId="0" applyBorder="1" applyAlignment="1">
      <alignment horizontal="center" vertical="center"/>
    </xf>
    <xf numFmtId="0" fontId="0" fillId="0" borderId="62" xfId="0" applyBorder="1" applyAlignment="1">
      <alignment horizontal="center" vertical="center"/>
    </xf>
    <xf numFmtId="0" fontId="0" fillId="0" borderId="63" xfId="0" applyBorder="1" applyAlignment="1">
      <alignment horizontal="center" vertical="center"/>
    </xf>
    <xf numFmtId="0" fontId="0" fillId="3" borderId="62" xfId="0" applyFill="1" applyBorder="1" applyAlignment="1">
      <alignment horizontal="center" vertical="center"/>
    </xf>
    <xf numFmtId="0" fontId="0" fillId="0" borderId="61" xfId="0" applyBorder="1" applyAlignment="1">
      <alignment vertical="center"/>
    </xf>
    <xf numFmtId="0" fontId="0" fillId="3" borderId="64" xfId="0" applyFill="1" applyBorder="1" applyAlignment="1">
      <alignment horizontal="center" vertical="center"/>
    </xf>
    <xf numFmtId="0" fontId="0" fillId="3" borderId="63" xfId="0" applyFill="1" applyBorder="1" applyAlignment="1">
      <alignment horizontal="center" vertical="center"/>
    </xf>
    <xf numFmtId="0" fontId="0" fillId="3" borderId="61" xfId="0" applyFill="1" applyBorder="1" applyAlignment="1">
      <alignment horizontal="center" vertical="center"/>
    </xf>
    <xf numFmtId="0" fontId="0" fillId="3" borderId="62" xfId="0" applyFill="1" applyBorder="1" applyAlignment="1">
      <alignment horizontal="center" vertical="center" wrapText="1"/>
    </xf>
    <xf numFmtId="0" fontId="0" fillId="3" borderId="61" xfId="0" applyFill="1" applyBorder="1" applyAlignment="1">
      <alignment horizontal="center" vertical="center" wrapText="1"/>
    </xf>
    <xf numFmtId="0" fontId="2" fillId="2" borderId="5" xfId="0" applyFont="1" applyFill="1" applyBorder="1" applyAlignment="1">
      <alignment horizontal="center" vertical="center"/>
    </xf>
    <xf numFmtId="0" fontId="0" fillId="3" borderId="66" xfId="0" applyFill="1" applyBorder="1" applyAlignment="1">
      <alignment horizontal="center" vertical="center"/>
    </xf>
    <xf numFmtId="0" fontId="4" fillId="0" borderId="0" xfId="0" applyFont="1"/>
    <xf numFmtId="0" fontId="5" fillId="0" borderId="0" xfId="0" applyFont="1"/>
    <xf numFmtId="0" fontId="6" fillId="0" borderId="0" xfId="0" applyFont="1"/>
    <xf numFmtId="0" fontId="7" fillId="0" borderId="0" xfId="0" applyFont="1"/>
    <xf numFmtId="0" fontId="10" fillId="8" borderId="60" xfId="0" applyFont="1" applyFill="1" applyBorder="1" applyAlignment="1">
      <alignment horizontal="center" vertical="center" wrapText="1"/>
    </xf>
    <xf numFmtId="0" fontId="10" fillId="9" borderId="60" xfId="0" applyFont="1" applyFill="1" applyBorder="1" applyAlignment="1">
      <alignment horizontal="center" vertical="center" wrapText="1"/>
    </xf>
    <xf numFmtId="14" fontId="10" fillId="8" borderId="60" xfId="0" applyNumberFormat="1" applyFont="1" applyFill="1" applyBorder="1" applyAlignment="1">
      <alignment horizontal="center" vertical="center" wrapText="1"/>
    </xf>
    <xf numFmtId="0" fontId="0" fillId="10" borderId="0" xfId="0" applyFill="1"/>
    <xf numFmtId="0" fontId="0" fillId="0" borderId="0" xfId="0" applyAlignment="1">
      <alignment wrapText="1"/>
    </xf>
    <xf numFmtId="0" fontId="9" fillId="0" borderId="65" xfId="0" applyFont="1" applyBorder="1" applyAlignment="1">
      <alignment horizontal="center" vertical="center"/>
    </xf>
    <xf numFmtId="0" fontId="3" fillId="0" borderId="10" xfId="0" applyFont="1" applyBorder="1" applyAlignment="1">
      <alignment horizontal="center" vertical="center" wrapText="1"/>
    </xf>
    <xf numFmtId="0" fontId="3" fillId="0" borderId="12" xfId="0" applyFont="1" applyBorder="1" applyAlignment="1">
      <alignment horizontal="center" vertical="center" wrapText="1"/>
    </xf>
    <xf numFmtId="0" fontId="0" fillId="0" borderId="54" xfId="0" applyBorder="1" applyAlignment="1">
      <alignment horizontal="center" vertical="center"/>
    </xf>
    <xf numFmtId="0" fontId="0" fillId="0" borderId="55" xfId="0" applyBorder="1" applyAlignment="1">
      <alignment horizontal="center" vertical="center"/>
    </xf>
    <xf numFmtId="0" fontId="2" fillId="2" borderId="6" xfId="0" applyFont="1" applyFill="1" applyBorder="1" applyAlignment="1">
      <alignment horizontal="center" vertical="center" wrapText="1"/>
    </xf>
    <xf numFmtId="0" fontId="2" fillId="2" borderId="8"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3" fillId="0" borderId="13" xfId="0" applyFont="1" applyBorder="1" applyAlignment="1">
      <alignment horizontal="center" vertical="center" wrapText="1"/>
    </xf>
    <xf numFmtId="0" fontId="3" fillId="0" borderId="14" xfId="0" applyFont="1" applyBorder="1" applyAlignment="1">
      <alignment horizontal="center" vertical="center" wrapText="1"/>
    </xf>
    <xf numFmtId="0" fontId="3" fillId="0" borderId="15" xfId="0" applyFont="1" applyBorder="1" applyAlignment="1">
      <alignment horizontal="center" vertical="center" wrapText="1"/>
    </xf>
    <xf numFmtId="0" fontId="3" fillId="0" borderId="16" xfId="0" applyFont="1" applyBorder="1" applyAlignment="1">
      <alignment horizontal="center" vertical="center" wrapText="1"/>
    </xf>
    <xf numFmtId="0" fontId="0" fillId="3" borderId="52" xfId="0" applyFill="1" applyBorder="1" applyAlignment="1">
      <alignment horizontal="center" vertical="center" wrapText="1"/>
    </xf>
    <xf numFmtId="0" fontId="0" fillId="3" borderId="54" xfId="0" applyFill="1" applyBorder="1" applyAlignment="1">
      <alignment horizontal="center" vertical="center" wrapText="1"/>
    </xf>
    <xf numFmtId="0" fontId="3" fillId="0" borderId="11" xfId="0" applyFont="1" applyBorder="1" applyAlignment="1">
      <alignment horizontal="center" vertical="center" wrapText="1"/>
    </xf>
    <xf numFmtId="0" fontId="0" fillId="0" borderId="46" xfId="0" applyBorder="1" applyAlignment="1">
      <alignment horizontal="center" vertical="center"/>
    </xf>
    <xf numFmtId="0" fontId="0" fillId="0" borderId="47" xfId="0" applyBorder="1" applyAlignment="1">
      <alignment horizontal="center" vertical="center"/>
    </xf>
    <xf numFmtId="0" fontId="3" fillId="0" borderId="1" xfId="0" applyFont="1" applyBorder="1" applyAlignment="1">
      <alignment horizontal="center" vertical="center" wrapText="1"/>
    </xf>
    <xf numFmtId="0" fontId="0" fillId="3" borderId="49" xfId="0" applyFill="1" applyBorder="1" applyAlignment="1">
      <alignment horizontal="center" vertical="center"/>
    </xf>
    <xf numFmtId="0" fontId="0" fillId="3" borderId="46" xfId="0" applyFill="1" applyBorder="1" applyAlignment="1">
      <alignment horizontal="center" vertical="center"/>
    </xf>
    <xf numFmtId="0" fontId="0" fillId="3" borderId="47" xfId="0" applyFill="1" applyBorder="1" applyAlignment="1">
      <alignment horizontal="center" vertical="center"/>
    </xf>
    <xf numFmtId="0" fontId="2" fillId="2" borderId="40" xfId="0" applyFont="1" applyFill="1" applyBorder="1" applyAlignment="1">
      <alignment horizontal="center" vertical="center" wrapText="1"/>
    </xf>
    <xf numFmtId="0" fontId="2" fillId="2" borderId="41" xfId="0" applyFont="1" applyFill="1" applyBorder="1" applyAlignment="1">
      <alignment horizontal="center" vertical="center" wrapText="1"/>
    </xf>
    <xf numFmtId="0" fontId="0" fillId="0" borderId="42" xfId="0" applyBorder="1" applyAlignment="1">
      <alignment horizontal="center" vertical="center" wrapText="1"/>
    </xf>
    <xf numFmtId="0" fontId="0" fillId="0" borderId="43" xfId="0" applyBorder="1" applyAlignment="1">
      <alignment horizontal="center" vertical="center" wrapText="1"/>
    </xf>
    <xf numFmtId="0" fontId="0" fillId="0" borderId="44" xfId="0" applyBorder="1" applyAlignment="1">
      <alignment horizontal="center"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3" fillId="0" borderId="17" xfId="0" applyFont="1" applyBorder="1" applyAlignment="1">
      <alignment horizontal="center" vertical="center" wrapText="1"/>
    </xf>
    <xf numFmtId="0" fontId="0" fillId="0" borderId="52" xfId="0" applyBorder="1" applyAlignment="1">
      <alignment horizontal="center" vertical="center"/>
    </xf>
    <xf numFmtId="0" fontId="0" fillId="3" borderId="54" xfId="0" applyFill="1" applyBorder="1" applyAlignment="1">
      <alignment horizontal="center" vertical="center"/>
    </xf>
    <xf numFmtId="0" fontId="0" fillId="3" borderId="50" xfId="0" applyFill="1" applyBorder="1" applyAlignment="1">
      <alignment horizontal="center" vertical="center"/>
    </xf>
    <xf numFmtId="0" fontId="0" fillId="3" borderId="55" xfId="0" applyFill="1" applyBorder="1" applyAlignment="1">
      <alignment horizontal="center" vertical="center"/>
    </xf>
    <xf numFmtId="0" fontId="0" fillId="3" borderId="57" xfId="0" applyFill="1" applyBorder="1" applyAlignment="1">
      <alignment horizontal="center" vertical="center"/>
    </xf>
    <xf numFmtId="0" fontId="3" fillId="0" borderId="18" xfId="0" applyFont="1" applyBorder="1" applyAlignment="1">
      <alignment horizontal="center" vertical="center" wrapText="1"/>
    </xf>
    <xf numFmtId="0" fontId="2" fillId="2" borderId="1" xfId="0" applyFont="1" applyFill="1" applyBorder="1" applyAlignment="1">
      <alignment horizontal="center" vertical="center" wrapText="1"/>
    </xf>
    <xf numFmtId="0" fontId="3" fillId="0" borderId="19" xfId="0" applyFont="1" applyBorder="1" applyAlignment="1">
      <alignment horizontal="center" vertical="center" wrapText="1"/>
    </xf>
    <xf numFmtId="0" fontId="0" fillId="0" borderId="0" xfId="0" applyAlignment="1">
      <alignment vertical="center"/>
    </xf>
    <xf numFmtId="0" fontId="0" fillId="0" borderId="0" xfId="0"/>
  </cellXfs>
  <cellStyles count="2">
    <cellStyle name="Normal" xfId="0" builtinId="0"/>
    <cellStyle name="Normal 2" xfId="1" xr:uid="{C395D416-FD55-4DB1-86D6-E684EDEDCBFA}"/>
  </cellStyles>
  <dxfs count="96">
    <dxf>
      <font>
        <color auto="1"/>
      </font>
      <fill>
        <patternFill>
          <bgColor rgb="FFFF0000"/>
        </patternFill>
      </fill>
    </dxf>
    <dxf>
      <font>
        <color auto="1"/>
      </font>
      <fill>
        <patternFill>
          <bgColor rgb="FFFF0000"/>
        </patternFill>
      </fill>
    </dxf>
    <dxf>
      <font>
        <color auto="1"/>
      </font>
      <fill>
        <patternFill>
          <bgColor rgb="FFFF9900"/>
        </patternFill>
      </fill>
    </dxf>
    <dxf>
      <font>
        <color auto="1"/>
      </font>
      <fill>
        <patternFill>
          <bgColor rgb="FFFF9900"/>
        </patternFill>
      </fill>
    </dxf>
    <dxf>
      <font>
        <color auto="1"/>
      </font>
      <fill>
        <patternFill>
          <bgColor rgb="FFFFFF00"/>
        </patternFill>
      </fill>
    </dxf>
    <dxf>
      <font>
        <color auto="1"/>
      </font>
      <fill>
        <patternFill>
          <bgColor rgb="FFFF0000"/>
        </patternFill>
      </fill>
    </dxf>
    <dxf>
      <font>
        <color auto="1"/>
      </font>
      <fill>
        <patternFill>
          <bgColor rgb="FFFF0000"/>
        </patternFill>
      </fill>
    </dxf>
    <dxf>
      <font>
        <color auto="1"/>
      </font>
      <fill>
        <patternFill>
          <bgColor rgb="FFFF0000"/>
        </patternFill>
      </fill>
    </dxf>
    <dxf>
      <font>
        <color auto="1"/>
      </font>
      <fill>
        <patternFill>
          <bgColor rgb="FFFF0000"/>
        </patternFill>
      </fill>
    </dxf>
    <dxf>
      <font>
        <color auto="1"/>
      </font>
      <fill>
        <patternFill>
          <bgColor rgb="FFFF0000"/>
        </patternFill>
      </fill>
    </dxf>
    <dxf>
      <font>
        <color auto="1"/>
      </font>
      <fill>
        <patternFill>
          <bgColor rgb="FFFF0000"/>
        </patternFill>
      </fill>
    </dxf>
    <dxf>
      <font>
        <color auto="1"/>
      </font>
      <fill>
        <patternFill>
          <bgColor rgb="FFFF0000"/>
        </patternFill>
      </fill>
    </dxf>
    <dxf>
      <font>
        <color auto="1"/>
      </font>
      <fill>
        <patternFill>
          <bgColor rgb="FFFF0000"/>
        </patternFill>
      </fill>
    </dxf>
    <dxf>
      <font>
        <color auto="1"/>
      </font>
      <fill>
        <patternFill>
          <bgColor rgb="FFFF0000"/>
        </patternFill>
      </fill>
    </dxf>
    <dxf>
      <font>
        <color auto="1"/>
      </font>
      <fill>
        <patternFill>
          <bgColor rgb="FFFF9900"/>
        </patternFill>
      </fill>
    </dxf>
    <dxf>
      <font>
        <color auto="1"/>
      </font>
      <fill>
        <patternFill>
          <bgColor rgb="FFFF0000"/>
        </patternFill>
      </fill>
    </dxf>
    <dxf>
      <font>
        <color auto="1"/>
      </font>
      <fill>
        <patternFill>
          <bgColor rgb="FFFF0000"/>
        </patternFill>
      </fill>
    </dxf>
    <dxf>
      <font>
        <color auto="1"/>
      </font>
      <fill>
        <patternFill>
          <bgColor rgb="FFFF0000"/>
        </patternFill>
      </fill>
    </dxf>
    <dxf>
      <font>
        <color auto="1"/>
      </font>
      <fill>
        <patternFill>
          <bgColor rgb="FFFF0000"/>
        </patternFill>
      </fill>
    </dxf>
    <dxf>
      <font>
        <color auto="1"/>
      </font>
      <fill>
        <patternFill>
          <bgColor rgb="FFFF0000"/>
        </patternFill>
      </fill>
    </dxf>
    <dxf>
      <font>
        <color auto="1"/>
      </font>
      <fill>
        <patternFill>
          <bgColor rgb="FFFF9900"/>
        </patternFill>
      </fill>
    </dxf>
    <dxf>
      <font>
        <color auto="1"/>
      </font>
      <fill>
        <patternFill>
          <bgColor rgb="FFFF0000"/>
        </patternFill>
      </fill>
    </dxf>
    <dxf>
      <font>
        <color auto="1"/>
      </font>
      <fill>
        <patternFill>
          <bgColor rgb="FFFFFF00"/>
        </patternFill>
      </fill>
    </dxf>
    <dxf>
      <font>
        <color auto="1"/>
      </font>
      <fill>
        <patternFill>
          <bgColor rgb="FFFF0000"/>
        </patternFill>
      </fill>
    </dxf>
    <dxf>
      <font>
        <color rgb="FFFF0000"/>
      </font>
    </dxf>
    <dxf>
      <font>
        <color rgb="FFFF0000"/>
      </font>
    </dxf>
    <dxf>
      <font>
        <color auto="1"/>
      </font>
      <fill>
        <patternFill>
          <bgColor theme="7" tint="0.59996337778862885"/>
        </patternFill>
      </fill>
    </dxf>
    <dxf>
      <font>
        <color rgb="FFFFC000"/>
      </font>
    </dxf>
    <dxf>
      <font>
        <color rgb="FFFF0000"/>
      </font>
    </dxf>
    <dxf>
      <font>
        <color auto="1"/>
      </font>
      <fill>
        <patternFill>
          <bgColor theme="7" tint="0.59996337778862885"/>
        </patternFill>
      </fill>
    </dxf>
    <dxf>
      <font>
        <color rgb="FFFFC000"/>
      </font>
    </dxf>
    <dxf>
      <font>
        <color theme="5"/>
      </font>
    </dxf>
    <dxf>
      <font>
        <color rgb="FFFF0000"/>
      </font>
    </dxf>
    <dxf>
      <font>
        <color rgb="FFFFC000"/>
      </font>
    </dxf>
    <dxf>
      <font>
        <color rgb="FFFF0000"/>
      </font>
    </dxf>
    <dxf>
      <font>
        <color rgb="FFFF0000"/>
      </font>
    </dxf>
    <dxf>
      <font>
        <color rgb="FFFF0000"/>
      </font>
    </dxf>
    <dxf>
      <font>
        <color rgb="FFFF0000"/>
      </font>
    </dxf>
    <dxf>
      <font>
        <color rgb="FFFFC000"/>
      </font>
    </dxf>
    <dxf>
      <font>
        <color rgb="FFFF0000"/>
      </font>
    </dxf>
    <dxf>
      <font>
        <color rgb="FFFFC000"/>
      </font>
    </dxf>
    <dxf>
      <font>
        <color theme="5"/>
      </font>
    </dxf>
    <dxf>
      <font>
        <color rgb="FFFF0000"/>
      </font>
    </dxf>
    <dxf>
      <font>
        <color rgb="FFFF0000"/>
      </font>
    </dxf>
    <dxf>
      <font>
        <color rgb="FFFF0000"/>
      </font>
    </dxf>
    <dxf>
      <font>
        <color rgb="FFFFC000"/>
      </font>
    </dxf>
    <dxf>
      <font>
        <color rgb="FFFF0000"/>
      </font>
    </dxf>
    <dxf>
      <font>
        <color auto="1"/>
      </font>
      <fill>
        <patternFill>
          <bgColor theme="7" tint="0.59996337778862885"/>
        </patternFill>
      </fill>
    </dxf>
    <dxf>
      <font>
        <color rgb="FFFFC000"/>
      </font>
    </dxf>
    <dxf>
      <font>
        <color auto="1"/>
      </font>
      <fill>
        <patternFill>
          <bgColor theme="7" tint="0.59996337778862885"/>
        </patternFill>
      </fill>
    </dxf>
    <dxf>
      <font>
        <color rgb="FFFF0000"/>
      </font>
    </dxf>
    <dxf>
      <font>
        <color rgb="FFFF0000"/>
      </font>
    </dxf>
    <dxf>
      <font>
        <color rgb="FFFF0000"/>
      </font>
    </dxf>
    <dxf>
      <font>
        <color rgb="FFFF0000"/>
      </font>
    </dxf>
    <dxf>
      <font>
        <color rgb="FFFF0000"/>
      </font>
    </dxf>
    <dxf>
      <font>
        <color auto="1"/>
      </font>
      <fill>
        <patternFill>
          <bgColor theme="7" tint="0.59996337778862885"/>
        </patternFill>
      </fill>
    </dxf>
    <dxf>
      <font>
        <color rgb="FFFF0000"/>
      </font>
    </dxf>
    <dxf>
      <font>
        <color rgb="FFFF0000"/>
      </font>
    </dxf>
    <dxf>
      <font>
        <color rgb="FFFF0000"/>
      </font>
    </dxf>
    <dxf>
      <font>
        <color rgb="FFFF0000"/>
      </font>
    </dxf>
    <dxf>
      <font>
        <color theme="5"/>
      </font>
    </dxf>
    <dxf>
      <font>
        <color rgb="FFFF0000"/>
      </font>
    </dxf>
    <dxf>
      <font>
        <color rgb="FFFF0000"/>
      </font>
    </dxf>
    <dxf>
      <font>
        <color rgb="FFFF0000"/>
      </font>
    </dxf>
    <dxf>
      <font>
        <color rgb="FFFF0000"/>
      </font>
    </dxf>
    <dxf>
      <font>
        <color rgb="FFFF0000"/>
      </font>
    </dxf>
    <dxf>
      <font>
        <color rgb="FFFF0000"/>
      </font>
    </dxf>
    <dxf>
      <font>
        <color rgb="FFFFC000"/>
      </font>
    </dxf>
    <dxf>
      <font>
        <color rgb="FFFF0000"/>
      </font>
    </dxf>
    <dxf>
      <font>
        <color rgb="FFFF0000"/>
      </font>
    </dxf>
    <dxf>
      <font>
        <color rgb="FFFFC000"/>
      </font>
    </dxf>
    <dxf>
      <font>
        <color theme="5"/>
      </font>
    </dxf>
    <dxf>
      <font>
        <color rgb="FFFF0000"/>
      </font>
    </dxf>
    <dxf>
      <font>
        <color auto="1"/>
      </font>
      <fill>
        <patternFill>
          <bgColor theme="7" tint="0.59996337778862885"/>
        </patternFill>
      </fill>
    </dxf>
    <dxf>
      <font>
        <color rgb="FFFF0000"/>
      </font>
    </dxf>
    <dxf>
      <font>
        <color auto="1"/>
      </font>
      <fill>
        <patternFill>
          <bgColor theme="7" tint="0.59996337778862885"/>
        </patternFill>
      </fill>
    </dxf>
    <dxf>
      <font>
        <color rgb="FFFF0000"/>
      </font>
    </dxf>
    <dxf>
      <font>
        <color rgb="FFFF0000"/>
      </font>
    </dxf>
    <dxf>
      <font>
        <color rgb="FFFF0000"/>
      </font>
    </dxf>
    <dxf>
      <font>
        <color rgb="FFFF0000"/>
      </font>
    </dxf>
    <dxf>
      <font>
        <color theme="5"/>
      </font>
    </dxf>
    <dxf>
      <font>
        <color rgb="FFFF0000"/>
      </font>
    </dxf>
    <dxf>
      <font>
        <color rgb="FFFF0000"/>
      </font>
    </dxf>
    <dxf>
      <font>
        <color theme="5"/>
      </font>
    </dxf>
    <dxf>
      <font>
        <color rgb="FFFF0000"/>
      </font>
    </dxf>
    <dxf>
      <font>
        <color rgb="FFFFC000"/>
      </font>
    </dxf>
    <dxf>
      <font>
        <color rgb="FFFF0000"/>
      </font>
    </dxf>
    <dxf>
      <font>
        <color rgb="FFFFC000"/>
      </font>
    </dxf>
    <dxf>
      <font>
        <color rgb="FFFF0000"/>
      </font>
    </dxf>
    <dxf>
      <font>
        <color rgb="FFFFC000"/>
      </font>
    </dxf>
    <dxf>
      <font>
        <color rgb="FFFF0000"/>
      </font>
    </dxf>
    <dxf>
      <font>
        <color theme="5"/>
      </font>
    </dxf>
    <dxf>
      <font>
        <color rgb="FFFF0000"/>
      </font>
    </dxf>
    <dxf>
      <font>
        <color rgb="FFFF0000"/>
      </font>
    </dxf>
    <dxf>
      <font>
        <color rgb="FFFF0000"/>
      </font>
    </dxf>
    <dxf>
      <font>
        <color rgb="FFFF0000"/>
      </font>
    </dxf>
  </dxfs>
  <tableStyles count="0" defaultTableStyle="TableStyleMedium2" defaultPivotStyle="PivotStyleLight16"/>
  <colors>
    <mruColors>
      <color rgb="FFFF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1/relationships/FeaturePropertyBag" Target="featurePropertyBag/featurePropertyBag.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26</xdr:col>
      <xdr:colOff>288002</xdr:colOff>
      <xdr:row>42</xdr:row>
      <xdr:rowOff>130630</xdr:rowOff>
    </xdr:to>
    <xdr:pic>
      <xdr:nvPicPr>
        <xdr:cNvPr id="2" name="Picture 1">
          <a:extLst>
            <a:ext uri="{FF2B5EF4-FFF2-40B4-BE49-F238E27FC236}">
              <a16:creationId xmlns:a16="http://schemas.microsoft.com/office/drawing/2014/main" id="{0957894A-40E2-640D-0F84-990D91CDDCC4}"/>
            </a:ext>
          </a:extLst>
        </xdr:cNvPr>
        <xdr:cNvPicPr>
          <a:picLocks noChangeAspect="1"/>
        </xdr:cNvPicPr>
      </xdr:nvPicPr>
      <xdr:blipFill>
        <a:blip xmlns:r="http://schemas.openxmlformats.org/officeDocument/2006/relationships" r:embed="rId1"/>
        <a:stretch>
          <a:fillRect/>
        </a:stretch>
      </xdr:blipFill>
      <xdr:spPr>
        <a:xfrm>
          <a:off x="0" y="0"/>
          <a:ext cx="16137602" cy="781159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16</xdr:col>
      <xdr:colOff>249046</xdr:colOff>
      <xdr:row>40</xdr:row>
      <xdr:rowOff>115337</xdr:rowOff>
    </xdr:to>
    <xdr:pic>
      <xdr:nvPicPr>
        <xdr:cNvPr id="2" name="Picture 1">
          <a:extLst>
            <a:ext uri="{FF2B5EF4-FFF2-40B4-BE49-F238E27FC236}">
              <a16:creationId xmlns:a16="http://schemas.microsoft.com/office/drawing/2014/main" id="{E4D203B3-C532-0940-9AF9-37824F02F364}"/>
            </a:ext>
          </a:extLst>
        </xdr:cNvPr>
        <xdr:cNvPicPr>
          <a:picLocks noChangeAspect="1"/>
        </xdr:cNvPicPr>
      </xdr:nvPicPr>
      <xdr:blipFill>
        <a:blip xmlns:r="http://schemas.openxmlformats.org/officeDocument/2006/relationships" r:embed="rId1"/>
        <a:stretch>
          <a:fillRect/>
        </a:stretch>
      </xdr:blipFill>
      <xdr:spPr>
        <a:xfrm>
          <a:off x="0" y="0"/>
          <a:ext cx="10002646" cy="7430537"/>
        </a:xfrm>
        <a:prstGeom prst="rect">
          <a:avLst/>
        </a:prstGeom>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432956-41B6-458C-B37E-7630F59D332E}">
  <dimension ref="A1:H49"/>
  <sheetViews>
    <sheetView tabSelected="1" topLeftCell="A34" zoomScale="120" zoomScaleNormal="120" workbookViewId="0">
      <selection activeCell="C5" sqref="C5"/>
    </sheetView>
  </sheetViews>
  <sheetFormatPr defaultRowHeight="14.5" x14ac:dyDescent="0.35"/>
  <cols>
    <col min="1" max="1" width="21" style="1" customWidth="1"/>
    <col min="2" max="2" width="23.54296875" style="2" customWidth="1"/>
    <col min="3" max="3" width="33.08984375" customWidth="1"/>
    <col min="4" max="4" width="20.6328125" style="3" customWidth="1"/>
    <col min="5" max="5" width="7.453125" style="3" customWidth="1"/>
    <col min="6" max="6" width="7.54296875" style="29" customWidth="1"/>
    <col min="7" max="8" width="0" hidden="1" customWidth="1"/>
  </cols>
  <sheetData>
    <row r="1" spans="1:8" ht="17" thickTop="1" thickBot="1" x14ac:dyDescent="0.4">
      <c r="A1" s="35" t="s">
        <v>0</v>
      </c>
      <c r="B1" s="102" t="str">
        <f>Export!$E$5</f>
        <v>ECI</v>
      </c>
      <c r="C1" s="103"/>
      <c r="D1" s="104"/>
      <c r="E1" s="100" t="s">
        <v>1</v>
      </c>
      <c r="F1" s="79" t="s">
        <v>2</v>
      </c>
    </row>
    <row r="2" spans="1:8" ht="36" customHeight="1" thickTop="1" thickBot="1" x14ac:dyDescent="0.4">
      <c r="A2" s="68" t="s">
        <v>3</v>
      </c>
      <c r="B2" s="105" t="str">
        <f>Export!$E$14</f>
        <v>Private Cloud File Server</v>
      </c>
      <c r="C2" s="106"/>
      <c r="D2" s="106"/>
      <c r="E2" s="101"/>
      <c r="F2" s="79"/>
    </row>
    <row r="3" spans="1:8" ht="15" thickTop="1" x14ac:dyDescent="0.35">
      <c r="A3" s="84" t="s">
        <v>4</v>
      </c>
      <c r="B3" s="96" t="s">
        <v>5</v>
      </c>
      <c r="C3" s="10" t="s">
        <v>6</v>
      </c>
      <c r="D3" s="94" t="s">
        <v>7</v>
      </c>
      <c r="E3" s="36"/>
      <c r="G3" s="53"/>
      <c r="H3">
        <v>20</v>
      </c>
    </row>
    <row r="4" spans="1:8" ht="15" thickBot="1" x14ac:dyDescent="0.4">
      <c r="A4" s="85"/>
      <c r="B4" s="96"/>
      <c r="C4" s="11" t="s">
        <v>8</v>
      </c>
      <c r="D4" s="94"/>
      <c r="E4" s="58" t="s">
        <v>9</v>
      </c>
      <c r="G4" s="57"/>
      <c r="H4">
        <v>21</v>
      </c>
    </row>
    <row r="5" spans="1:8" x14ac:dyDescent="0.35">
      <c r="A5" s="85"/>
      <c r="B5" s="80" t="s">
        <v>10</v>
      </c>
      <c r="C5" s="14" t="s">
        <v>11</v>
      </c>
      <c r="D5" s="94"/>
      <c r="E5" s="39" t="s">
        <v>9</v>
      </c>
      <c r="G5" s="57"/>
      <c r="H5">
        <v>22</v>
      </c>
    </row>
    <row r="6" spans="1:8" x14ac:dyDescent="0.35">
      <c r="A6" s="85"/>
      <c r="B6" s="93"/>
      <c r="C6" s="12" t="s">
        <v>12</v>
      </c>
      <c r="D6" s="94"/>
      <c r="E6" s="60" t="s">
        <v>9</v>
      </c>
      <c r="G6" s="57"/>
      <c r="H6">
        <v>31</v>
      </c>
    </row>
    <row r="7" spans="1:8" x14ac:dyDescent="0.35">
      <c r="A7" s="85"/>
      <c r="B7" s="93"/>
      <c r="C7" s="15" t="s">
        <v>13</v>
      </c>
      <c r="D7" s="94"/>
      <c r="E7" s="39"/>
      <c r="G7" s="55"/>
      <c r="H7">
        <v>36</v>
      </c>
    </row>
    <row r="8" spans="1:8" x14ac:dyDescent="0.35">
      <c r="A8" s="85"/>
      <c r="B8" s="93"/>
      <c r="C8" s="12" t="s">
        <v>14</v>
      </c>
      <c r="D8" s="95"/>
      <c r="E8" s="59" t="s">
        <v>9</v>
      </c>
      <c r="G8" s="57"/>
      <c r="H8">
        <v>37</v>
      </c>
    </row>
    <row r="9" spans="1:8" x14ac:dyDescent="0.35">
      <c r="A9" s="85"/>
      <c r="B9" s="93"/>
      <c r="C9" s="13" t="s">
        <v>15</v>
      </c>
      <c r="D9" s="37" t="s">
        <v>16</v>
      </c>
      <c r="E9" s="61" t="s">
        <v>9</v>
      </c>
      <c r="G9" s="57"/>
      <c r="H9">
        <v>92</v>
      </c>
    </row>
    <row r="10" spans="1:8" ht="15" thickBot="1" x14ac:dyDescent="0.4">
      <c r="A10" s="85"/>
      <c r="B10" s="81"/>
      <c r="C10" s="11" t="s">
        <v>17</v>
      </c>
      <c r="D10" s="38" t="s">
        <v>18</v>
      </c>
      <c r="E10" s="62"/>
      <c r="G10" s="53"/>
      <c r="H10">
        <v>154</v>
      </c>
    </row>
    <row r="11" spans="1:8" x14ac:dyDescent="0.35">
      <c r="A11" s="85"/>
      <c r="B11" s="87" t="s">
        <v>19</v>
      </c>
      <c r="C11" s="16" t="s">
        <v>20</v>
      </c>
      <c r="D11" s="97" t="s">
        <v>7</v>
      </c>
      <c r="E11" s="63"/>
      <c r="G11" s="54"/>
      <c r="H11">
        <v>34</v>
      </c>
    </row>
    <row r="12" spans="1:8" x14ac:dyDescent="0.35">
      <c r="A12" s="85"/>
      <c r="B12" s="88"/>
      <c r="C12" s="17" t="s">
        <v>21</v>
      </c>
      <c r="D12" s="98"/>
      <c r="E12" s="64" t="s">
        <v>9</v>
      </c>
      <c r="G12" s="57"/>
      <c r="H12">
        <v>23</v>
      </c>
    </row>
    <row r="13" spans="1:8" x14ac:dyDescent="0.35">
      <c r="A13" s="85"/>
      <c r="B13" s="88"/>
      <c r="C13" s="17" t="s">
        <v>22</v>
      </c>
      <c r="D13" s="98"/>
      <c r="E13" s="40" t="s">
        <v>9</v>
      </c>
      <c r="G13" s="57"/>
      <c r="H13">
        <v>38</v>
      </c>
    </row>
    <row r="14" spans="1:8" ht="15" thickBot="1" x14ac:dyDescent="0.4">
      <c r="A14" s="85"/>
      <c r="B14" s="89"/>
      <c r="C14" s="18" t="s">
        <v>23</v>
      </c>
      <c r="D14" s="99"/>
      <c r="E14" s="65"/>
      <c r="G14" s="53"/>
      <c r="H14">
        <v>39</v>
      </c>
    </row>
    <row r="15" spans="1:8" x14ac:dyDescent="0.35">
      <c r="A15" s="85"/>
      <c r="B15" s="87" t="s">
        <v>24</v>
      </c>
      <c r="C15" s="19" t="s">
        <v>25</v>
      </c>
      <c r="D15" s="82" t="s">
        <v>26</v>
      </c>
      <c r="E15" s="49"/>
      <c r="G15" s="53"/>
      <c r="H15">
        <v>97</v>
      </c>
    </row>
    <row r="16" spans="1:8" x14ac:dyDescent="0.35">
      <c r="A16" s="85"/>
      <c r="B16" s="88"/>
      <c r="C16" s="15" t="s">
        <v>27</v>
      </c>
      <c r="D16" s="83"/>
      <c r="E16" s="59"/>
      <c r="G16" s="53"/>
      <c r="H16">
        <v>98</v>
      </c>
    </row>
    <row r="17" spans="1:8" x14ac:dyDescent="0.35">
      <c r="A17" s="85"/>
      <c r="B17" s="88"/>
      <c r="C17" s="18" t="s">
        <v>28</v>
      </c>
      <c r="D17" s="91" t="s">
        <v>29</v>
      </c>
      <c r="E17" s="66"/>
      <c r="F17" s="30" t="b">
        <v>0</v>
      </c>
      <c r="G17" s="53"/>
      <c r="H17">
        <v>162</v>
      </c>
    </row>
    <row r="18" spans="1:8" ht="15" thickBot="1" x14ac:dyDescent="0.4">
      <c r="A18" s="86"/>
      <c r="B18" s="90"/>
      <c r="C18" s="20" t="s">
        <v>30</v>
      </c>
      <c r="D18" s="92"/>
      <c r="E18" s="67"/>
      <c r="F18" s="30" t="b">
        <v>0</v>
      </c>
      <c r="G18" s="53"/>
      <c r="H18">
        <v>163</v>
      </c>
    </row>
    <row r="19" spans="1:8" ht="29.15" customHeight="1" thickTop="1" x14ac:dyDescent="0.35">
      <c r="A19" s="84" t="s">
        <v>31</v>
      </c>
      <c r="B19" s="107" t="s">
        <v>32</v>
      </c>
      <c r="C19" s="21" t="s">
        <v>33</v>
      </c>
      <c r="D19" s="44" t="s">
        <v>34</v>
      </c>
      <c r="E19" s="49" t="s">
        <v>9</v>
      </c>
      <c r="G19" s="57"/>
      <c r="H19">
        <v>40</v>
      </c>
    </row>
    <row r="20" spans="1:8" ht="15" thickBot="1" x14ac:dyDescent="0.4">
      <c r="A20" s="85"/>
      <c r="B20" s="89"/>
      <c r="C20" s="18" t="s">
        <v>32</v>
      </c>
      <c r="D20" s="45" t="s">
        <v>35</v>
      </c>
      <c r="E20" s="65"/>
      <c r="G20" s="54"/>
      <c r="H20">
        <v>42</v>
      </c>
    </row>
    <row r="21" spans="1:8" x14ac:dyDescent="0.35">
      <c r="A21" s="85"/>
      <c r="B21" s="87" t="s">
        <v>36</v>
      </c>
      <c r="C21" s="22" t="s">
        <v>37</v>
      </c>
      <c r="D21" s="108" t="s">
        <v>38</v>
      </c>
      <c r="E21" s="41"/>
      <c r="G21" s="53"/>
      <c r="H21">
        <v>125</v>
      </c>
    </row>
    <row r="22" spans="1:8" x14ac:dyDescent="0.35">
      <c r="A22" s="85"/>
      <c r="B22" s="88"/>
      <c r="C22" s="15" t="s">
        <v>39</v>
      </c>
      <c r="D22" s="108"/>
      <c r="E22" s="60" t="s">
        <v>9</v>
      </c>
      <c r="G22" s="57"/>
      <c r="H22">
        <v>126</v>
      </c>
    </row>
    <row r="23" spans="1:8" x14ac:dyDescent="0.35">
      <c r="A23" s="85"/>
      <c r="B23" s="88"/>
      <c r="C23" s="15" t="s">
        <v>40</v>
      </c>
      <c r="D23" s="108"/>
      <c r="E23" s="60" t="s">
        <v>9</v>
      </c>
      <c r="G23" s="57"/>
      <c r="H23">
        <v>127</v>
      </c>
    </row>
    <row r="24" spans="1:8" x14ac:dyDescent="0.35">
      <c r="A24" s="85"/>
      <c r="B24" s="88"/>
      <c r="C24" s="5" t="s">
        <v>41</v>
      </c>
      <c r="D24" s="108"/>
      <c r="E24" s="60" t="s">
        <v>9</v>
      </c>
      <c r="G24" s="57"/>
      <c r="H24">
        <v>128</v>
      </c>
    </row>
    <row r="25" spans="1:8" x14ac:dyDescent="0.35">
      <c r="A25" s="85"/>
      <c r="B25" s="88"/>
      <c r="C25" s="12" t="s">
        <v>42</v>
      </c>
      <c r="D25" s="108"/>
      <c r="E25" s="41" t="s">
        <v>9</v>
      </c>
      <c r="G25" s="57"/>
      <c r="H25">
        <v>129</v>
      </c>
    </row>
    <row r="26" spans="1:8" x14ac:dyDescent="0.35">
      <c r="A26" s="85"/>
      <c r="B26" s="88"/>
      <c r="C26" s="12" t="s">
        <v>43</v>
      </c>
      <c r="D26" s="108"/>
      <c r="E26" s="60" t="s">
        <v>9</v>
      </c>
      <c r="G26" s="57"/>
      <c r="H26">
        <v>130</v>
      </c>
    </row>
    <row r="27" spans="1:8" x14ac:dyDescent="0.35">
      <c r="A27" s="85"/>
      <c r="B27" s="88"/>
      <c r="C27" s="12" t="s">
        <v>44</v>
      </c>
      <c r="D27" s="108"/>
      <c r="E27" s="41" t="s">
        <v>9</v>
      </c>
      <c r="G27" s="57"/>
      <c r="H27">
        <v>134</v>
      </c>
    </row>
    <row r="28" spans="1:8" ht="15" thickBot="1" x14ac:dyDescent="0.4">
      <c r="A28" s="85"/>
      <c r="B28" s="89"/>
      <c r="C28" s="11" t="s">
        <v>45</v>
      </c>
      <c r="D28" s="108"/>
      <c r="E28" s="58" t="s">
        <v>9</v>
      </c>
      <c r="G28" s="57"/>
      <c r="H28">
        <v>135</v>
      </c>
    </row>
    <row r="29" spans="1:8" x14ac:dyDescent="0.35">
      <c r="A29" s="85"/>
      <c r="B29" s="87" t="s">
        <v>46</v>
      </c>
      <c r="C29" s="23" t="s">
        <v>47</v>
      </c>
      <c r="D29" s="109" t="s">
        <v>48</v>
      </c>
      <c r="E29" s="51" t="s">
        <v>9</v>
      </c>
      <c r="G29" s="57"/>
      <c r="H29">
        <v>60</v>
      </c>
    </row>
    <row r="30" spans="1:8" ht="15" thickBot="1" x14ac:dyDescent="0.4">
      <c r="A30" s="85"/>
      <c r="B30" s="89"/>
      <c r="C30" s="24" t="s">
        <v>49</v>
      </c>
      <c r="D30" s="110"/>
      <c r="E30" s="65" t="s">
        <v>9</v>
      </c>
      <c r="G30" s="57"/>
      <c r="H30">
        <v>53</v>
      </c>
    </row>
    <row r="31" spans="1:8" x14ac:dyDescent="0.35">
      <c r="A31" s="85"/>
      <c r="B31" s="80" t="s">
        <v>50</v>
      </c>
      <c r="C31" s="16" t="s">
        <v>51</v>
      </c>
      <c r="D31" s="110"/>
      <c r="E31" s="42"/>
      <c r="F31" s="30" t="b">
        <v>0</v>
      </c>
      <c r="G31" s="53"/>
      <c r="H31">
        <v>67</v>
      </c>
    </row>
    <row r="32" spans="1:8" x14ac:dyDescent="0.35">
      <c r="A32" s="85"/>
      <c r="B32" s="93"/>
      <c r="C32" s="18" t="s">
        <v>52</v>
      </c>
      <c r="D32" s="111"/>
      <c r="E32" s="42"/>
      <c r="G32" s="53"/>
      <c r="H32">
        <v>69</v>
      </c>
    </row>
    <row r="33" spans="1:8" x14ac:dyDescent="0.35">
      <c r="A33" s="85"/>
      <c r="B33" s="93"/>
      <c r="C33" s="12" t="s">
        <v>53</v>
      </c>
      <c r="D33" s="82" t="s">
        <v>54</v>
      </c>
      <c r="E33" s="59"/>
      <c r="G33" s="53"/>
      <c r="H33">
        <v>72</v>
      </c>
    </row>
    <row r="34" spans="1:8" x14ac:dyDescent="0.35">
      <c r="A34" s="85"/>
      <c r="B34" s="93"/>
      <c r="C34" s="12" t="s">
        <v>55</v>
      </c>
      <c r="D34" s="83"/>
      <c r="E34" s="60"/>
      <c r="G34" s="53"/>
      <c r="H34">
        <v>73</v>
      </c>
    </row>
    <row r="35" spans="1:8" x14ac:dyDescent="0.35">
      <c r="A35" s="85"/>
      <c r="B35" s="93"/>
      <c r="C35" s="13" t="s">
        <v>56</v>
      </c>
      <c r="D35" s="109" t="s">
        <v>57</v>
      </c>
      <c r="E35" s="42"/>
      <c r="F35" s="30" t="b">
        <v>0</v>
      </c>
      <c r="G35" s="53"/>
      <c r="H35">
        <v>155</v>
      </c>
    </row>
    <row r="36" spans="1:8" ht="15" thickBot="1" x14ac:dyDescent="0.4">
      <c r="A36" s="86"/>
      <c r="B36" s="113"/>
      <c r="C36" s="20" t="s">
        <v>58</v>
      </c>
      <c r="D36" s="112"/>
      <c r="E36" s="50"/>
      <c r="F36" s="30" t="b">
        <v>0</v>
      </c>
      <c r="G36" s="53"/>
      <c r="H36">
        <v>156</v>
      </c>
    </row>
    <row r="37" spans="1:8" ht="15" thickTop="1" x14ac:dyDescent="0.35">
      <c r="A37" s="114" t="s">
        <v>59</v>
      </c>
      <c r="B37" s="115" t="s">
        <v>60</v>
      </c>
      <c r="C37" s="25" t="s">
        <v>61</v>
      </c>
      <c r="D37" s="46" t="s">
        <v>16</v>
      </c>
      <c r="E37" s="41" t="s">
        <v>9</v>
      </c>
      <c r="G37" s="57"/>
      <c r="H37">
        <v>95</v>
      </c>
    </row>
    <row r="38" spans="1:8" x14ac:dyDescent="0.35">
      <c r="A38" s="114"/>
      <c r="B38" s="93"/>
      <c r="C38" s="17" t="s">
        <v>62</v>
      </c>
      <c r="D38" s="45" t="s">
        <v>63</v>
      </c>
      <c r="E38" s="61"/>
      <c r="G38" s="53"/>
      <c r="H38">
        <v>101</v>
      </c>
    </row>
    <row r="39" spans="1:8" x14ac:dyDescent="0.35">
      <c r="A39" s="114"/>
      <c r="B39" s="93"/>
      <c r="C39" s="5" t="s">
        <v>64</v>
      </c>
      <c r="D39" s="43" t="s">
        <v>7</v>
      </c>
      <c r="E39" s="60"/>
      <c r="G39" s="53"/>
      <c r="H39">
        <v>33</v>
      </c>
    </row>
    <row r="40" spans="1:8" x14ac:dyDescent="0.35">
      <c r="A40" s="114"/>
      <c r="B40" s="93"/>
      <c r="C40" s="13" t="s">
        <v>65</v>
      </c>
      <c r="D40" s="109" t="s">
        <v>63</v>
      </c>
      <c r="E40" s="64"/>
      <c r="G40" s="55"/>
      <c r="H40">
        <v>100</v>
      </c>
    </row>
    <row r="41" spans="1:8" ht="15" thickBot="1" x14ac:dyDescent="0.4">
      <c r="A41" s="114"/>
      <c r="B41" s="81"/>
      <c r="C41" s="24" t="s">
        <v>66</v>
      </c>
      <c r="D41" s="111"/>
      <c r="E41" s="42" t="s">
        <v>9</v>
      </c>
      <c r="G41" s="57"/>
      <c r="H41">
        <v>99</v>
      </c>
    </row>
    <row r="42" spans="1:8" x14ac:dyDescent="0.35">
      <c r="A42" s="114"/>
      <c r="B42" s="80" t="s">
        <v>67</v>
      </c>
      <c r="C42" s="19" t="s">
        <v>68</v>
      </c>
      <c r="D42" s="82" t="s">
        <v>16</v>
      </c>
      <c r="E42" s="49" t="s">
        <v>9</v>
      </c>
      <c r="G42" s="57"/>
      <c r="H42">
        <v>87</v>
      </c>
    </row>
    <row r="43" spans="1:8" ht="15" thickBot="1" x14ac:dyDescent="0.4">
      <c r="A43" s="114"/>
      <c r="B43" s="81"/>
      <c r="C43" s="5" t="s">
        <v>69</v>
      </c>
      <c r="D43" s="83"/>
      <c r="E43" s="58" t="s">
        <v>9</v>
      </c>
      <c r="G43" s="57"/>
      <c r="H43">
        <v>88</v>
      </c>
    </row>
    <row r="44" spans="1:8" ht="29.5" thickBot="1" x14ac:dyDescent="0.4">
      <c r="A44" s="114"/>
      <c r="B44" s="26" t="s">
        <v>70</v>
      </c>
      <c r="C44" s="6" t="s">
        <v>71</v>
      </c>
      <c r="D44" s="45" t="s">
        <v>18</v>
      </c>
      <c r="E44" s="52"/>
      <c r="G44" s="54"/>
      <c r="H44">
        <v>152</v>
      </c>
    </row>
    <row r="45" spans="1:8" ht="29.5" thickBot="1" x14ac:dyDescent="0.4">
      <c r="A45" s="114"/>
      <c r="B45" s="27" t="s">
        <v>72</v>
      </c>
      <c r="C45" s="7" t="s">
        <v>73</v>
      </c>
      <c r="D45" s="43" t="s">
        <v>74</v>
      </c>
      <c r="E45" s="41"/>
      <c r="G45" s="54"/>
      <c r="H45">
        <v>102</v>
      </c>
    </row>
    <row r="46" spans="1:8" ht="29.5" thickBot="1" x14ac:dyDescent="0.4">
      <c r="A46" s="114"/>
      <c r="B46" s="28" t="s">
        <v>75</v>
      </c>
      <c r="C46" s="8" t="s">
        <v>76</v>
      </c>
      <c r="D46" s="47" t="s">
        <v>57</v>
      </c>
      <c r="E46" s="51" t="s">
        <v>9</v>
      </c>
      <c r="F46" s="30" t="b">
        <v>0</v>
      </c>
      <c r="G46" s="57"/>
      <c r="H46">
        <v>159</v>
      </c>
    </row>
    <row r="47" spans="1:8" ht="15.5" thickTop="1" thickBot="1" x14ac:dyDescent="0.4">
      <c r="A47" s="84" t="s">
        <v>77</v>
      </c>
      <c r="B47" s="26" t="s">
        <v>78</v>
      </c>
      <c r="C47" s="9" t="s">
        <v>79</v>
      </c>
      <c r="D47" s="46" t="s">
        <v>57</v>
      </c>
      <c r="E47" s="49"/>
      <c r="F47" s="30" t="b">
        <v>0</v>
      </c>
      <c r="G47" s="53"/>
      <c r="H47">
        <v>158</v>
      </c>
    </row>
    <row r="48" spans="1:8" ht="15" thickBot="1" x14ac:dyDescent="0.4">
      <c r="A48" s="86"/>
      <c r="B48" s="33" t="s">
        <v>80</v>
      </c>
      <c r="C48" s="32" t="s">
        <v>81</v>
      </c>
      <c r="D48" s="48" t="s">
        <v>7</v>
      </c>
      <c r="E48" s="69"/>
      <c r="G48" s="53"/>
      <c r="H48">
        <v>30</v>
      </c>
    </row>
    <row r="49" spans="1:5" ht="15" thickTop="1" x14ac:dyDescent="0.35">
      <c r="A49" s="4"/>
      <c r="B49" s="34"/>
      <c r="D49" s="31"/>
      <c r="E49" s="31"/>
    </row>
  </sheetData>
  <mergeCells count="28">
    <mergeCell ref="A47:A48"/>
    <mergeCell ref="A19:A36"/>
    <mergeCell ref="B19:B20"/>
    <mergeCell ref="B21:B28"/>
    <mergeCell ref="D21:D28"/>
    <mergeCell ref="B29:B30"/>
    <mergeCell ref="D29:D32"/>
    <mergeCell ref="D33:D34"/>
    <mergeCell ref="D35:D36"/>
    <mergeCell ref="B31:B36"/>
    <mergeCell ref="A37:A46"/>
    <mergeCell ref="B37:B41"/>
    <mergeCell ref="D40:D41"/>
    <mergeCell ref="F1:F2"/>
    <mergeCell ref="B42:B43"/>
    <mergeCell ref="D42:D43"/>
    <mergeCell ref="A3:A18"/>
    <mergeCell ref="B11:B14"/>
    <mergeCell ref="B15:B18"/>
    <mergeCell ref="D17:D18"/>
    <mergeCell ref="B5:B10"/>
    <mergeCell ref="D3:D8"/>
    <mergeCell ref="B3:B4"/>
    <mergeCell ref="D11:D14"/>
    <mergeCell ref="D15:D16"/>
    <mergeCell ref="E1:E2"/>
    <mergeCell ref="B1:D1"/>
    <mergeCell ref="B2:D2"/>
  </mergeCells>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expression" priority="89" id="{B0920553-AD92-4CD7-B561-1985F1B1BD34}">
            <xm:f>Export!$F$20="High"</xm:f>
            <x14:dxf>
              <font>
                <color rgb="FFFF0000"/>
              </font>
            </x14:dxf>
          </x14:cfRule>
          <xm:sqref>C3</xm:sqref>
        </x14:conditionalFormatting>
        <x14:conditionalFormatting xmlns:xm="http://schemas.microsoft.com/office/excel/2006/main">
          <x14:cfRule type="expression" priority="88" id="{C3CA8A1A-E5FB-414A-8681-C75877EEA6F3}">
            <xm:f>Export!$F$21="High"</xm:f>
            <x14:dxf>
              <font>
                <color rgb="FFFF0000"/>
              </font>
            </x14:dxf>
          </x14:cfRule>
          <xm:sqref>C4</xm:sqref>
        </x14:conditionalFormatting>
        <x14:conditionalFormatting xmlns:xm="http://schemas.microsoft.com/office/excel/2006/main">
          <x14:cfRule type="expression" priority="87" id="{2F2EDCD3-EED3-4D45-8535-C0269A11CAEB}">
            <xm:f>Export!$F$22="High"</xm:f>
            <x14:dxf>
              <font>
                <color rgb="FFFF0000"/>
              </font>
            </x14:dxf>
          </x14:cfRule>
          <xm:sqref>C5</xm:sqref>
        </x14:conditionalFormatting>
        <x14:conditionalFormatting xmlns:xm="http://schemas.microsoft.com/office/excel/2006/main">
          <x14:cfRule type="expression" priority="86" id="{0E07C01E-ED35-4021-A4C7-9690F4659BCC}">
            <xm:f>Export!$F$31="High"</xm:f>
            <x14:dxf>
              <font>
                <color rgb="FFFF0000"/>
              </font>
            </x14:dxf>
          </x14:cfRule>
          <xm:sqref>C6</xm:sqref>
        </x14:conditionalFormatting>
        <x14:conditionalFormatting xmlns:xm="http://schemas.microsoft.com/office/excel/2006/main">
          <x14:cfRule type="expression" priority="84" id="{8E208A38-C03E-428A-8957-D5AF40516906}">
            <xm:f>Export!$F$36="Moderate"</xm:f>
            <x14:dxf>
              <font>
                <color theme="5"/>
              </font>
            </x14:dxf>
          </x14:cfRule>
          <x14:cfRule type="expression" priority="85" id="{F9D6F70E-F68F-4786-AEB9-04137E8CD937}">
            <xm:f>Export!$F$36="High"</xm:f>
            <x14:dxf>
              <font>
                <color rgb="FFFF0000"/>
              </font>
            </x14:dxf>
          </x14:cfRule>
          <x14:cfRule type="expression" priority="83" id="{B9F2CCDF-F512-4489-8822-DBDF6374FD19}">
            <xm:f>Export!$F$36="Low"</xm:f>
            <x14:dxf>
              <font>
                <color rgb="FFFFC000"/>
              </font>
            </x14:dxf>
          </x14:cfRule>
          <xm:sqref>C7</xm:sqref>
        </x14:conditionalFormatting>
        <x14:conditionalFormatting xmlns:xm="http://schemas.microsoft.com/office/excel/2006/main">
          <x14:cfRule type="expression" priority="82" id="{8DE486F3-D041-4BED-82B2-96A9EF0B816C}">
            <xm:f>Export!$F$37="High"</xm:f>
            <x14:dxf>
              <font>
                <color rgb="FFFF0000"/>
              </font>
            </x14:dxf>
          </x14:cfRule>
          <x14:cfRule type="expression" priority="81" id="{5A849C98-CFA9-4AB7-BE2E-2101E1154C80}">
            <xm:f>Export!$F$37="Low"</xm:f>
            <x14:dxf>
              <font>
                <color rgb="FFFFC000"/>
              </font>
            </x14:dxf>
          </x14:cfRule>
          <xm:sqref>C8</xm:sqref>
        </x14:conditionalFormatting>
        <x14:conditionalFormatting xmlns:xm="http://schemas.microsoft.com/office/excel/2006/main">
          <x14:cfRule type="expression" priority="80" id="{756735E7-E168-4557-9774-B0F9ADFF3F35}">
            <xm:f>Export!$F$92="High"</xm:f>
            <x14:dxf>
              <font>
                <color rgb="FFFF0000"/>
              </font>
            </x14:dxf>
          </x14:cfRule>
          <x14:cfRule type="expression" priority="79" id="{84DE943B-7A51-4A05-8558-0C92596149F3}">
            <xm:f>Export!$F$92="Low"</xm:f>
            <x14:dxf>
              <font>
                <color rgb="FFFFC000"/>
              </font>
            </x14:dxf>
          </x14:cfRule>
          <xm:sqref>C9</xm:sqref>
        </x14:conditionalFormatting>
        <x14:conditionalFormatting xmlns:xm="http://schemas.microsoft.com/office/excel/2006/main">
          <x14:cfRule type="expression" priority="78" id="{86500084-FB0D-48AD-A3C0-6F79DED370B4}">
            <xm:f>Export!$F$154="High"</xm:f>
            <x14:dxf>
              <font>
                <color rgb="FFFF0000"/>
              </font>
            </x14:dxf>
          </x14:cfRule>
          <xm:sqref>C10</xm:sqref>
        </x14:conditionalFormatting>
        <x14:conditionalFormatting xmlns:xm="http://schemas.microsoft.com/office/excel/2006/main">
          <x14:cfRule type="expression" priority="76" id="{715A7DF7-7375-40BA-B4CB-A35121AE1DFB}">
            <xm:f>Export!$F$34="Moderate"</xm:f>
            <x14:dxf>
              <font>
                <color theme="5"/>
              </font>
            </x14:dxf>
          </x14:cfRule>
          <x14:cfRule type="expression" priority="77" id="{C8639E10-6F21-4FCF-B93C-BE2B094EB39A}">
            <xm:f>Export!$F$34="High"</xm:f>
            <x14:dxf>
              <font>
                <color rgb="FFFF0000"/>
              </font>
            </x14:dxf>
          </x14:cfRule>
          <xm:sqref>C11</xm:sqref>
        </x14:conditionalFormatting>
        <x14:conditionalFormatting xmlns:xm="http://schemas.microsoft.com/office/excel/2006/main">
          <x14:cfRule type="expression" priority="75" id="{4CF12A49-CBB6-48A1-93C9-DFF948EE0787}">
            <xm:f>Export!$F$23="High"</xm:f>
            <x14:dxf>
              <font>
                <color rgb="FFFF0000"/>
              </font>
            </x14:dxf>
          </x14:cfRule>
          <xm:sqref>C12</xm:sqref>
        </x14:conditionalFormatting>
        <x14:conditionalFormatting xmlns:xm="http://schemas.microsoft.com/office/excel/2006/main">
          <x14:cfRule type="expression" priority="73" id="{5CB51347-7516-4FD4-B14D-2629E1E57A05}">
            <xm:f>Export!$F$38="Moderate"</xm:f>
            <x14:dxf>
              <font>
                <color theme="5"/>
              </font>
            </x14:dxf>
          </x14:cfRule>
          <x14:cfRule type="expression" priority="74" id="{3B6E3803-5BD1-48F1-B759-D4F80A4E5E63}">
            <xm:f>Export!$F$38="High"</xm:f>
            <x14:dxf>
              <font>
                <color rgb="FFFF0000"/>
              </font>
            </x14:dxf>
          </x14:cfRule>
          <xm:sqref>C13</xm:sqref>
        </x14:conditionalFormatting>
        <x14:conditionalFormatting xmlns:xm="http://schemas.microsoft.com/office/excel/2006/main">
          <x14:cfRule type="expression" priority="72" id="{07FF5C0C-C2E0-40CF-873E-13A2CD451DEF}">
            <xm:f>Export!$F$39="High"</xm:f>
            <x14:dxf>
              <font>
                <color rgb="FFFF0000"/>
              </font>
            </x14:dxf>
          </x14:cfRule>
          <xm:sqref>C14</xm:sqref>
        </x14:conditionalFormatting>
        <x14:conditionalFormatting xmlns:xm="http://schemas.microsoft.com/office/excel/2006/main">
          <x14:cfRule type="expression" priority="71" id="{207ED32B-4411-469D-A501-ABED6103C011}">
            <xm:f>Export!$F$97="High"</xm:f>
            <x14:dxf>
              <font>
                <color rgb="FFFF0000"/>
              </font>
            </x14:dxf>
          </x14:cfRule>
          <xm:sqref>C15</xm:sqref>
        </x14:conditionalFormatting>
        <x14:conditionalFormatting xmlns:xm="http://schemas.microsoft.com/office/excel/2006/main">
          <x14:cfRule type="expression" priority="70" id="{E5436BF6-1123-4A9C-AF6A-6508D73C0EE8}">
            <xm:f>Export!$F$98="High"</xm:f>
            <x14:dxf>
              <font>
                <color rgb="FFFF0000"/>
              </font>
            </x14:dxf>
          </x14:cfRule>
          <xm:sqref>C16</xm:sqref>
        </x14:conditionalFormatting>
        <x14:conditionalFormatting xmlns:xm="http://schemas.microsoft.com/office/excel/2006/main">
          <x14:cfRule type="expression" priority="90" id="{861DDDCD-2C0C-45DF-86DB-A50F084B79C3}">
            <xm:f>AND($F$17=TRUE, AND(Export!$F$162&lt;&gt;"N/A", Export!$F$162&lt;&gt;""))</xm:f>
            <x14:dxf>
              <font>
                <color auto="1"/>
              </font>
              <fill>
                <patternFill>
                  <bgColor theme="7" tint="0.59996337778862885"/>
                </patternFill>
              </fill>
            </x14:dxf>
          </x14:cfRule>
          <x14:cfRule type="expression" priority="69" id="{2F6E7D6E-C13F-4DB5-BCAC-BE2B53895529}">
            <xm:f>Export!$F$162="High"</xm:f>
            <x14:dxf>
              <font>
                <color rgb="FFFF0000"/>
              </font>
            </x14:dxf>
          </x14:cfRule>
          <xm:sqref>C17</xm:sqref>
        </x14:conditionalFormatting>
        <x14:conditionalFormatting xmlns:xm="http://schemas.microsoft.com/office/excel/2006/main">
          <x14:cfRule type="expression" priority="92" id="{9D03D046-0391-4B8B-8ACE-1791027D15E7}">
            <xm:f>AND($F$18=TRUE, AND(Export!$F$163&lt;&gt;"N/A", Export!$F$163&lt;&gt;""))</xm:f>
            <x14:dxf>
              <font>
                <color auto="1"/>
              </font>
              <fill>
                <patternFill>
                  <bgColor theme="7" tint="0.59996337778862885"/>
                </patternFill>
              </fill>
            </x14:dxf>
          </x14:cfRule>
          <x14:cfRule type="expression" priority="68" id="{F6F2675C-9266-480A-9712-D809ECE31B8E}">
            <xm:f>Export!$F$163="High"</xm:f>
            <x14:dxf>
              <font>
                <color rgb="FFFF0000"/>
              </font>
            </x14:dxf>
          </x14:cfRule>
          <x14:cfRule type="expression" priority="67" id="{FC750D41-7A8D-4516-817E-03B5F347AE3C}">
            <xm:f>Export!$F$163="Moderate"</xm:f>
            <x14:dxf>
              <font>
                <color theme="5"/>
              </font>
            </x14:dxf>
          </x14:cfRule>
          <x14:cfRule type="expression" priority="66" id="{750B8861-5974-4376-A1DF-9026F6BD2A27}">
            <xm:f>Export!$F$163="Low"</xm:f>
            <x14:dxf>
              <font>
                <color rgb="FFFFC000"/>
              </font>
            </x14:dxf>
          </x14:cfRule>
          <xm:sqref>C18</xm:sqref>
        </x14:conditionalFormatting>
        <x14:conditionalFormatting xmlns:xm="http://schemas.microsoft.com/office/excel/2006/main">
          <x14:cfRule type="expression" priority="65" id="{05482B92-8E24-4664-8748-A78FFCF1BB67}">
            <xm:f>Export!$F$40="High"</xm:f>
            <x14:dxf>
              <font>
                <color rgb="FFFF0000"/>
              </font>
            </x14:dxf>
          </x14:cfRule>
          <xm:sqref>C19</xm:sqref>
        </x14:conditionalFormatting>
        <x14:conditionalFormatting xmlns:xm="http://schemas.microsoft.com/office/excel/2006/main">
          <x14:cfRule type="expression" priority="64" id="{7847F20D-A0FC-4AD5-BD6B-57BBE398FEB1}">
            <xm:f>Export!$F$42="High"</xm:f>
            <x14:dxf>
              <font>
                <color rgb="FFFF0000"/>
              </font>
            </x14:dxf>
          </x14:cfRule>
          <x14:cfRule type="expression" priority="63" id="{00DDEE49-BEB4-4A5F-A800-AE34DFF3E1BB}">
            <xm:f>Export!$F$42="Low"</xm:f>
            <x14:dxf>
              <font>
                <color rgb="FFFFC000"/>
              </font>
            </x14:dxf>
          </x14:cfRule>
          <xm:sqref>C20</xm:sqref>
        </x14:conditionalFormatting>
        <x14:conditionalFormatting xmlns:xm="http://schemas.microsoft.com/office/excel/2006/main">
          <x14:cfRule type="expression" priority="62" id="{0853CDF8-FCB4-474A-AD49-E8CAC6373AC6}">
            <xm:f>Export!$F$125="High"</xm:f>
            <x14:dxf>
              <font>
                <color rgb="FFFF0000"/>
              </font>
            </x14:dxf>
          </x14:cfRule>
          <xm:sqref>C21</xm:sqref>
        </x14:conditionalFormatting>
        <x14:conditionalFormatting xmlns:xm="http://schemas.microsoft.com/office/excel/2006/main">
          <x14:cfRule type="expression" priority="61" id="{C8305618-76E8-455F-8594-B978A4208852}">
            <xm:f>Export!$F$126="High"</xm:f>
            <x14:dxf>
              <font>
                <color rgb="FFFF0000"/>
              </font>
            </x14:dxf>
          </x14:cfRule>
          <xm:sqref>C22</xm:sqref>
        </x14:conditionalFormatting>
        <x14:conditionalFormatting xmlns:xm="http://schemas.microsoft.com/office/excel/2006/main">
          <x14:cfRule type="expression" priority="60" id="{728A4F66-A55A-438C-A169-E2983B2AB32E}">
            <xm:f>Export!$F$127="High"</xm:f>
            <x14:dxf>
              <font>
                <color rgb="FFFF0000"/>
              </font>
            </x14:dxf>
          </x14:cfRule>
          <xm:sqref>C23</xm:sqref>
        </x14:conditionalFormatting>
        <x14:conditionalFormatting xmlns:xm="http://schemas.microsoft.com/office/excel/2006/main">
          <x14:cfRule type="expression" priority="59" id="{586267F4-5A91-460B-AF1E-BA9425128E0B}">
            <xm:f>Export!$F$128="High"</xm:f>
            <x14:dxf>
              <font>
                <color rgb="FFFF0000"/>
              </font>
            </x14:dxf>
          </x14:cfRule>
          <xm:sqref>C24</xm:sqref>
        </x14:conditionalFormatting>
        <x14:conditionalFormatting xmlns:xm="http://schemas.microsoft.com/office/excel/2006/main">
          <x14:cfRule type="expression" priority="58" id="{D037FFA3-ED92-4512-8C35-BCD1826BB0FA}">
            <xm:f>Export!$F$129="High"</xm:f>
            <x14:dxf>
              <font>
                <color rgb="FFFF0000"/>
              </font>
            </x14:dxf>
          </x14:cfRule>
          <xm:sqref>C25</xm:sqref>
        </x14:conditionalFormatting>
        <x14:conditionalFormatting xmlns:xm="http://schemas.microsoft.com/office/excel/2006/main">
          <x14:cfRule type="expression" priority="57" id="{EC875380-A964-4E33-87D4-4B8346813AB9}">
            <xm:f>Export!$F$130="High"</xm:f>
            <x14:dxf>
              <font>
                <color rgb="FFFF0000"/>
              </font>
            </x14:dxf>
          </x14:cfRule>
          <x14:cfRule type="expression" priority="56" id="{F69C36C6-0141-4B67-B32E-8B28FCFFFCAB}">
            <xm:f>Export!$F$130="Moderate"</xm:f>
            <x14:dxf>
              <font>
                <color theme="5"/>
              </font>
            </x14:dxf>
          </x14:cfRule>
          <xm:sqref>C26</xm:sqref>
        </x14:conditionalFormatting>
        <x14:conditionalFormatting xmlns:xm="http://schemas.microsoft.com/office/excel/2006/main">
          <x14:cfRule type="expression" priority="55" id="{B9BDB00B-8AB8-4CB0-8DC2-51C29E3CEE0F}">
            <xm:f>Export!$F$134="High"</xm:f>
            <x14:dxf>
              <font>
                <color rgb="FFFF0000"/>
              </font>
            </x14:dxf>
          </x14:cfRule>
          <xm:sqref>C27</xm:sqref>
        </x14:conditionalFormatting>
        <x14:conditionalFormatting xmlns:xm="http://schemas.microsoft.com/office/excel/2006/main">
          <x14:cfRule type="expression" priority="54" id="{0CF8B5C5-78FD-462A-BF48-1D202CC7984E}">
            <xm:f>Export!$F$135="High"</xm:f>
            <x14:dxf>
              <font>
                <color rgb="FFFF0000"/>
              </font>
            </x14:dxf>
          </x14:cfRule>
          <xm:sqref>C28</xm:sqref>
        </x14:conditionalFormatting>
        <x14:conditionalFormatting xmlns:xm="http://schemas.microsoft.com/office/excel/2006/main">
          <x14:cfRule type="expression" priority="53" id="{CB7D5AEC-A39F-448F-8FC9-A459731FA2C2}">
            <xm:f>Export!$F$60="High"</xm:f>
            <x14:dxf>
              <font>
                <color rgb="FFFF0000"/>
              </font>
            </x14:dxf>
          </x14:cfRule>
          <xm:sqref>C29</xm:sqref>
        </x14:conditionalFormatting>
        <x14:conditionalFormatting xmlns:xm="http://schemas.microsoft.com/office/excel/2006/main">
          <x14:cfRule type="expression" priority="52" id="{A86AB544-8C4B-4B0E-9725-5AEDD9D5B418}">
            <xm:f>Export!$F$53="High"</xm:f>
            <x14:dxf>
              <font>
                <color rgb="FFFF0000"/>
              </font>
            </x14:dxf>
          </x14:cfRule>
          <xm:sqref>C30</xm:sqref>
        </x14:conditionalFormatting>
        <x14:conditionalFormatting xmlns:xm="http://schemas.microsoft.com/office/excel/2006/main">
          <x14:cfRule type="expression" priority="93" id="{AF389879-0998-4FD2-97B0-865D7934F689}">
            <xm:f>AND($F$31=TRUE, AND(Export!$F$67&lt;&gt;"N/A", Export!$F$67&lt;&gt;""))</xm:f>
            <x14:dxf>
              <font>
                <color auto="1"/>
              </font>
              <fill>
                <patternFill>
                  <bgColor theme="7" tint="0.59996337778862885"/>
                </patternFill>
              </fill>
            </x14:dxf>
          </x14:cfRule>
          <x14:cfRule type="expression" priority="51" id="{E3D10F6F-919F-4381-BC54-079A38F7C5ED}">
            <xm:f>Export!$F$67="High"</xm:f>
            <x14:dxf>
              <font>
                <color rgb="FFFF0000"/>
              </font>
            </x14:dxf>
          </x14:cfRule>
          <xm:sqref>C31</xm:sqref>
        </x14:conditionalFormatting>
        <x14:conditionalFormatting xmlns:xm="http://schemas.microsoft.com/office/excel/2006/main">
          <x14:cfRule type="expression" priority="50" id="{A34EA908-D5DC-4EE1-BF0B-6D503AAE27F5}">
            <xm:f>Export!$F$69="High"</xm:f>
            <x14:dxf>
              <font>
                <color rgb="FFFF0000"/>
              </font>
            </x14:dxf>
          </x14:cfRule>
          <xm:sqref>C32</xm:sqref>
        </x14:conditionalFormatting>
        <x14:conditionalFormatting xmlns:xm="http://schemas.microsoft.com/office/excel/2006/main">
          <x14:cfRule type="expression" priority="49" id="{8BAE0525-EEF0-44EF-B04E-2650933BC027}">
            <xm:f>Export!$F$72="High"</xm:f>
            <x14:dxf>
              <font>
                <color rgb="FFFF0000"/>
              </font>
            </x14:dxf>
          </x14:cfRule>
          <xm:sqref>C33</xm:sqref>
        </x14:conditionalFormatting>
        <x14:conditionalFormatting xmlns:xm="http://schemas.microsoft.com/office/excel/2006/main">
          <x14:cfRule type="expression" priority="48" id="{4D4FFD68-2F5E-41A8-ACF2-D2D57DD85749}">
            <xm:f>Export!$F$73="High"</xm:f>
            <x14:dxf>
              <font>
                <color rgb="FFFF0000"/>
              </font>
            </x14:dxf>
          </x14:cfRule>
          <xm:sqref>C34</xm:sqref>
        </x14:conditionalFormatting>
        <x14:conditionalFormatting xmlns:xm="http://schemas.microsoft.com/office/excel/2006/main">
          <x14:cfRule type="expression" priority="47" id="{AF1E3F94-6788-4782-A5B9-FA5CDC9BF623}">
            <xm:f>Export!$F$155="High"</xm:f>
            <x14:dxf>
              <font>
                <color rgb="FFFF0000"/>
              </font>
            </x14:dxf>
          </x14:cfRule>
          <x14:cfRule type="expression" priority="94" id="{7ABB1891-8058-4B85-9350-642EA2766841}">
            <xm:f>AND($F$35=TRUE, AND(Export!$F$155&lt;&gt;"N/A", Export!$F$155&lt;&gt;""))</xm:f>
            <x14:dxf>
              <font>
                <color auto="1"/>
              </font>
              <fill>
                <patternFill>
                  <bgColor theme="7" tint="0.59996337778862885"/>
                </patternFill>
              </fill>
            </x14:dxf>
          </x14:cfRule>
          <x14:cfRule type="expression" priority="46" id="{36952560-6347-46EC-82AA-6D7AD8A011F0}">
            <xm:f>Export!$F$155="Low"</xm:f>
            <x14:dxf>
              <font>
                <color rgb="FFFFC000"/>
              </font>
            </x14:dxf>
          </x14:cfRule>
          <xm:sqref>C35</xm:sqref>
        </x14:conditionalFormatting>
        <x14:conditionalFormatting xmlns:xm="http://schemas.microsoft.com/office/excel/2006/main">
          <x14:cfRule type="expression" priority="95" id="{7E404321-7F7F-48C7-8A20-8092D243CF28}">
            <xm:f>AND($F$36=TRUE, AND(Export!$F$156&lt;&gt;"N/A", Export!$F$156&lt;&gt;""))</xm:f>
            <x14:dxf>
              <font>
                <color auto="1"/>
              </font>
              <fill>
                <patternFill>
                  <bgColor theme="7" tint="0.59996337778862885"/>
                </patternFill>
              </fill>
            </x14:dxf>
          </x14:cfRule>
          <x14:cfRule type="expression" priority="45" id="{F5C69AF9-8E45-4037-86A0-6D26F1CB5042}">
            <xm:f>Export!$F$156="High"</xm:f>
            <x14:dxf>
              <font>
                <color rgb="FFFF0000"/>
              </font>
            </x14:dxf>
          </x14:cfRule>
          <x14:cfRule type="expression" priority="44" id="{73A7F169-84BA-44AA-8141-951DF431B28D}">
            <xm:f>Export!$F$156="Low"</xm:f>
            <x14:dxf>
              <font>
                <color rgb="FFFFC000"/>
              </font>
            </x14:dxf>
          </x14:cfRule>
          <xm:sqref>C36</xm:sqref>
        </x14:conditionalFormatting>
        <x14:conditionalFormatting xmlns:xm="http://schemas.microsoft.com/office/excel/2006/main">
          <x14:cfRule type="expression" priority="43" id="{941FAD80-B504-464A-BBA1-FCA0595C4C9A}">
            <xm:f>Export!$F$95="High"</xm:f>
            <x14:dxf>
              <font>
                <color rgb="FFFF0000"/>
              </font>
            </x14:dxf>
          </x14:cfRule>
          <xm:sqref>C37</xm:sqref>
        </x14:conditionalFormatting>
        <x14:conditionalFormatting xmlns:xm="http://schemas.microsoft.com/office/excel/2006/main">
          <x14:cfRule type="expression" priority="42" id="{16FAE961-66BD-48E1-8C85-80AB86A78D30}">
            <xm:f>Export!$F$101="High"</xm:f>
            <x14:dxf>
              <font>
                <color rgb="FFFF0000"/>
              </font>
            </x14:dxf>
          </x14:cfRule>
          <xm:sqref>C38</xm:sqref>
        </x14:conditionalFormatting>
        <x14:conditionalFormatting xmlns:xm="http://schemas.microsoft.com/office/excel/2006/main">
          <x14:cfRule type="expression" priority="41" id="{1E4769FF-E7B9-4E40-9164-151C122CE332}">
            <xm:f>Export!$F$33="High"</xm:f>
            <x14:dxf>
              <font>
                <color rgb="FFFF0000"/>
              </font>
            </x14:dxf>
          </x14:cfRule>
          <x14:cfRule type="expression" priority="40" id="{71AB21B3-EFBF-40E2-A169-68EB30A06C60}">
            <xm:f>Export!$F$33="Moderate"</xm:f>
            <x14:dxf>
              <font>
                <color theme="5"/>
              </font>
            </x14:dxf>
          </x14:cfRule>
          <x14:cfRule type="expression" priority="39" id="{D238053C-6987-46A9-ACD5-F12B17B47F8C}">
            <xm:f>Export!$F$33="Low"</xm:f>
            <x14:dxf>
              <font>
                <color rgb="FFFFC000"/>
              </font>
            </x14:dxf>
          </x14:cfRule>
          <xm:sqref>C39</xm:sqref>
        </x14:conditionalFormatting>
        <x14:conditionalFormatting xmlns:xm="http://schemas.microsoft.com/office/excel/2006/main">
          <x14:cfRule type="expression" priority="38" id="{BD869008-3B1E-40DA-94F9-561EA75B4465}">
            <xm:f>Export!$F$100="High"</xm:f>
            <x14:dxf>
              <font>
                <color rgb="FFFF0000"/>
              </font>
            </x14:dxf>
          </x14:cfRule>
          <x14:cfRule type="expression" priority="37" id="{F3C1D6D8-96E9-4B85-900B-9CFD8591336E}">
            <xm:f>Export!$F$100="Low"</xm:f>
            <x14:dxf>
              <font>
                <color rgb="FFFFC000"/>
              </font>
            </x14:dxf>
          </x14:cfRule>
          <xm:sqref>C40</xm:sqref>
        </x14:conditionalFormatting>
        <x14:conditionalFormatting xmlns:xm="http://schemas.microsoft.com/office/excel/2006/main">
          <x14:cfRule type="expression" priority="36" id="{46F2FA39-02D5-4F32-A7BF-312A92AFDF58}">
            <xm:f>Export!$F$99="High"</xm:f>
            <x14:dxf>
              <font>
                <color rgb="FFFF0000"/>
              </font>
            </x14:dxf>
          </x14:cfRule>
          <xm:sqref>C41</xm:sqref>
        </x14:conditionalFormatting>
        <x14:conditionalFormatting xmlns:xm="http://schemas.microsoft.com/office/excel/2006/main">
          <x14:cfRule type="expression" priority="35" id="{F40226BA-AB4E-40B5-A2D7-16498E0DD6F0}">
            <xm:f>Export!$F$87="High"</xm:f>
            <x14:dxf>
              <font>
                <color rgb="FFFF0000"/>
              </font>
            </x14:dxf>
          </x14:cfRule>
          <xm:sqref>C42</xm:sqref>
        </x14:conditionalFormatting>
        <x14:conditionalFormatting xmlns:xm="http://schemas.microsoft.com/office/excel/2006/main">
          <x14:cfRule type="expression" priority="34" id="{AAA88452-91E3-4278-8404-1A1114CD4399}">
            <xm:f>Export!$F$88="High"</xm:f>
            <x14:dxf>
              <font>
                <color rgb="FFFF0000"/>
              </font>
            </x14:dxf>
          </x14:cfRule>
          <xm:sqref>C43</xm:sqref>
        </x14:conditionalFormatting>
        <x14:conditionalFormatting xmlns:xm="http://schemas.microsoft.com/office/excel/2006/main">
          <x14:cfRule type="expression" priority="33" id="{C798602D-E537-4D2A-8C97-C4C79BCC2D25}">
            <xm:f>Export!$F$152="High"</xm:f>
            <x14:dxf>
              <font>
                <color rgb="FFFF0000"/>
              </font>
            </x14:dxf>
          </x14:cfRule>
          <x14:cfRule type="expression" priority="32" id="{457B62F4-1006-4BE6-B164-335419C52314}">
            <xm:f>Export!$F$152="Low"</xm:f>
            <x14:dxf>
              <font>
                <color rgb="FFFFC000"/>
              </font>
            </x14:dxf>
          </x14:cfRule>
          <xm:sqref>C44</xm:sqref>
        </x14:conditionalFormatting>
        <x14:conditionalFormatting xmlns:xm="http://schemas.microsoft.com/office/excel/2006/main">
          <x14:cfRule type="expression" priority="31" id="{8F973A24-7257-4C97-BB1A-AFB11DB2A46D}">
            <xm:f>Export!$F$102="High"</xm:f>
            <x14:dxf>
              <font>
                <color rgb="FFFF0000"/>
              </font>
            </x14:dxf>
          </x14:cfRule>
          <xm:sqref>C45</xm:sqref>
        </x14:conditionalFormatting>
        <x14:conditionalFormatting xmlns:xm="http://schemas.microsoft.com/office/excel/2006/main">
          <x14:cfRule type="expression" priority="29" id="{9F6E2904-34F9-4897-BE6E-EAE10BB23860}">
            <xm:f>Export!$F$159="Moderate"</xm:f>
            <x14:dxf>
              <font>
                <color theme="5"/>
              </font>
            </x14:dxf>
          </x14:cfRule>
          <x14:cfRule type="expression" priority="28" id="{427387E9-C200-41B8-8062-04B8107AC6A0}">
            <xm:f>Export!$F$159="Low"</xm:f>
            <x14:dxf>
              <font>
                <color rgb="FFFFC000"/>
              </font>
            </x14:dxf>
          </x14:cfRule>
          <x14:cfRule type="expression" priority="96" id="{639A8F9C-8670-49D9-80E5-FEF8EB1F3D19}">
            <xm:f>AND($F$46=TRUE, AND(Export!$F$159&lt;&gt;"N/A", Export!$F$159&lt;&gt;""))</xm:f>
            <x14:dxf>
              <font>
                <color auto="1"/>
              </font>
              <fill>
                <patternFill>
                  <bgColor theme="7" tint="0.59996337778862885"/>
                </patternFill>
              </fill>
            </x14:dxf>
          </x14:cfRule>
          <x14:cfRule type="expression" priority="30" id="{E6721840-CD41-4CC3-8EDC-A8C1E3D10E38}">
            <xm:f>Export!$F$159="High"</xm:f>
            <x14:dxf>
              <font>
                <color rgb="FFFF0000"/>
              </font>
            </x14:dxf>
          </x14:cfRule>
          <xm:sqref>C46</xm:sqref>
        </x14:conditionalFormatting>
        <x14:conditionalFormatting xmlns:xm="http://schemas.microsoft.com/office/excel/2006/main">
          <x14:cfRule type="expression" priority="26" id="{33969C6F-4B9B-4085-BC31-C30048B1BC2B}">
            <xm:f>Export!$F$158="Low"</xm:f>
            <x14:dxf>
              <font>
                <color rgb="FFFFC000"/>
              </font>
            </x14:dxf>
          </x14:cfRule>
          <x14:cfRule type="expression" priority="91" id="{1A38A8AD-62D9-467E-9959-C1B5C10D52DF}">
            <xm:f>AND($F$47=TRUE, AND(Export!$F$158&lt;&gt;"N/A", Export!$F$158&lt;&gt;""))</xm:f>
            <x14:dxf>
              <font>
                <color auto="1"/>
              </font>
              <fill>
                <patternFill>
                  <bgColor theme="7" tint="0.59996337778862885"/>
                </patternFill>
              </fill>
            </x14:dxf>
          </x14:cfRule>
          <x14:cfRule type="expression" priority="27" id="{E53C93F5-3C65-4916-ACC2-B18308544501}">
            <xm:f>Export!$F$158="High"</xm:f>
            <x14:dxf>
              <font>
                <color rgb="FFFF0000"/>
              </font>
            </x14:dxf>
          </x14:cfRule>
          <xm:sqref>C47</xm:sqref>
        </x14:conditionalFormatting>
        <x14:conditionalFormatting xmlns:xm="http://schemas.microsoft.com/office/excel/2006/main">
          <x14:cfRule type="expression" priority="25" id="{DD6DD7AE-1AA1-4C02-8B54-EE3491302414}">
            <xm:f>Export!$F$30="High"</xm:f>
            <x14:dxf>
              <font>
                <color rgb="FFFF0000"/>
              </font>
            </x14:dxf>
          </x14:cfRule>
          <xm:sqref>C48</xm:sqref>
        </x14:conditionalFormatting>
        <x14:conditionalFormatting xmlns:xm="http://schemas.microsoft.com/office/excel/2006/main">
          <x14:cfRule type="expression" priority="24" id="{F5FE08FA-DE58-45E2-B8A5-12D4346CCB33}">
            <xm:f>AND(Export!$F$20&lt;&gt;"N/A", Export!$F$20&lt;&gt;"")</xm:f>
            <x14:dxf>
              <font>
                <color auto="1"/>
              </font>
              <fill>
                <patternFill>
                  <bgColor rgb="FFFF0000"/>
                </patternFill>
              </fill>
            </x14:dxf>
          </x14:cfRule>
          <xm:sqref>E3</xm:sqref>
        </x14:conditionalFormatting>
        <x14:conditionalFormatting xmlns:xm="http://schemas.microsoft.com/office/excel/2006/main">
          <x14:cfRule type="expression" priority="2" id="{04A64BD5-C0F4-4679-B811-CF838EB9B952}">
            <xm:f>AND(Export!$F$36&lt;&gt;"N/A", Export!$F$36&lt;&gt;"")</xm:f>
            <x14:dxf>
              <font>
                <color auto="1"/>
              </font>
              <fill>
                <patternFill>
                  <bgColor rgb="FFFFFF00"/>
                </patternFill>
              </fill>
            </x14:dxf>
          </x14:cfRule>
          <xm:sqref>E7</xm:sqref>
        </x14:conditionalFormatting>
        <x14:conditionalFormatting xmlns:xm="http://schemas.microsoft.com/office/excel/2006/main">
          <x14:cfRule type="expression" priority="23" id="{03428F9F-59B3-444F-98C5-20E05171553B}">
            <xm:f>AND(Export!$F$154&lt;&gt;"N/A", Export!$F$154&lt;&gt;"")</xm:f>
            <x14:dxf>
              <font>
                <color auto="1"/>
              </font>
              <fill>
                <patternFill>
                  <bgColor rgb="FFFF0000"/>
                </patternFill>
              </fill>
            </x14:dxf>
          </x14:cfRule>
          <xm:sqref>E10</xm:sqref>
        </x14:conditionalFormatting>
        <x14:conditionalFormatting xmlns:xm="http://schemas.microsoft.com/office/excel/2006/main">
          <x14:cfRule type="expression" priority="6" id="{50B4CE68-48FF-4517-99D2-226114274AE5}">
            <xm:f>AND(Export!$F$34&lt;&gt;"N/A", Export!$F$34&lt;&gt;"")</xm:f>
            <x14:dxf>
              <font>
                <color auto="1"/>
              </font>
              <fill>
                <patternFill>
                  <bgColor rgb="FFFF9900"/>
                </patternFill>
              </fill>
            </x14:dxf>
          </x14:cfRule>
          <xm:sqref>E11</xm:sqref>
        </x14:conditionalFormatting>
        <x14:conditionalFormatting xmlns:xm="http://schemas.microsoft.com/office/excel/2006/main">
          <x14:cfRule type="expression" priority="22" id="{D287E142-6372-4585-8E55-326EA3DC0622}">
            <xm:f>AND(Export!$F$39&lt;&gt;"N/A", Export!$F$39&lt;&gt;"")</xm:f>
            <x14:dxf>
              <font>
                <color auto="1"/>
              </font>
              <fill>
                <patternFill>
                  <bgColor rgb="FFFF0000"/>
                </patternFill>
              </fill>
            </x14:dxf>
          </x14:cfRule>
          <xm:sqref>E14</xm:sqref>
        </x14:conditionalFormatting>
        <x14:conditionalFormatting xmlns:xm="http://schemas.microsoft.com/office/excel/2006/main">
          <x14:cfRule type="expression" priority="21" id="{D347B958-8D82-469E-8E92-86B29BA20E4E}">
            <xm:f>AND(Export!$F$97&lt;&gt;"N/A", Export!$F$97&lt;&gt;"")</xm:f>
            <x14:dxf>
              <font>
                <color auto="1"/>
              </font>
              <fill>
                <patternFill>
                  <bgColor rgb="FFFF0000"/>
                </patternFill>
              </fill>
            </x14:dxf>
          </x14:cfRule>
          <xm:sqref>E15</xm:sqref>
        </x14:conditionalFormatting>
        <x14:conditionalFormatting xmlns:xm="http://schemas.microsoft.com/office/excel/2006/main">
          <x14:cfRule type="expression" priority="20" id="{4CEE79F0-7856-49C8-ADEA-550C355757F4}">
            <xm:f>AND(Export!$F$98&lt;&gt;"N/A", Export!$F$98&lt;&gt;"")</xm:f>
            <x14:dxf>
              <font>
                <color auto="1"/>
              </font>
              <fill>
                <patternFill>
                  <bgColor rgb="FFFF0000"/>
                </patternFill>
              </fill>
            </x14:dxf>
          </x14:cfRule>
          <xm:sqref>E16</xm:sqref>
        </x14:conditionalFormatting>
        <x14:conditionalFormatting xmlns:xm="http://schemas.microsoft.com/office/excel/2006/main">
          <x14:cfRule type="expression" priority="19" id="{36AEC809-F6F2-416D-8352-3F68BEF707A1}">
            <xm:f>AND(Export!$F$162&lt;&gt;"N/A", Export!$F$162&lt;&gt;"")</xm:f>
            <x14:dxf>
              <font>
                <color auto="1"/>
              </font>
              <fill>
                <patternFill>
                  <bgColor rgb="FFFF0000"/>
                </patternFill>
              </fill>
            </x14:dxf>
          </x14:cfRule>
          <xm:sqref>E17</xm:sqref>
        </x14:conditionalFormatting>
        <x14:conditionalFormatting xmlns:xm="http://schemas.microsoft.com/office/excel/2006/main">
          <x14:cfRule type="expression" priority="18" id="{9494586F-E441-4CA0-BF4E-ADDD1CE9A52B}">
            <xm:f>AND(Export!$F$163&lt;&gt;"N/A", Export!$F$163&lt;&gt;"")</xm:f>
            <x14:dxf>
              <font>
                <color auto="1"/>
              </font>
              <fill>
                <patternFill>
                  <bgColor rgb="FFFF0000"/>
                </patternFill>
              </fill>
            </x14:dxf>
          </x14:cfRule>
          <xm:sqref>E18</xm:sqref>
        </x14:conditionalFormatting>
        <x14:conditionalFormatting xmlns:xm="http://schemas.microsoft.com/office/excel/2006/main">
          <x14:cfRule type="expression" priority="5" id="{5FF7F596-F8B1-4CDC-8760-3145D792BBE5}">
            <xm:f>AND(Export!$F$42&lt;&gt;"N/A", Export!$F$42&lt;&gt;"")</xm:f>
            <x14:dxf>
              <font>
                <color auto="1"/>
              </font>
              <fill>
                <patternFill>
                  <bgColor rgb="FFFF9900"/>
                </patternFill>
              </fill>
            </x14:dxf>
          </x14:cfRule>
          <xm:sqref>E20</xm:sqref>
        </x14:conditionalFormatting>
        <x14:conditionalFormatting xmlns:xm="http://schemas.microsoft.com/office/excel/2006/main">
          <x14:cfRule type="expression" priority="17" id="{74641380-FE49-411C-9174-6D5C4FF4F2EB}">
            <xm:f>AND(Export!$F$125&lt;&gt;"N/A", Export!$F$125&lt;&gt;"")</xm:f>
            <x14:dxf>
              <font>
                <color auto="1"/>
              </font>
              <fill>
                <patternFill>
                  <bgColor rgb="FFFF0000"/>
                </patternFill>
              </fill>
            </x14:dxf>
          </x14:cfRule>
          <xm:sqref>E21</xm:sqref>
        </x14:conditionalFormatting>
        <x14:conditionalFormatting xmlns:xm="http://schemas.microsoft.com/office/excel/2006/main">
          <x14:cfRule type="expression" priority="16" id="{CF50B33C-BEDD-41AC-8EE3-59A3404583F0}">
            <xm:f>AND(Export!$F$67&lt;&gt;"N/A", Export!$F$67&lt;&gt;"")</xm:f>
            <x14:dxf>
              <font>
                <color auto="1"/>
              </font>
              <fill>
                <patternFill>
                  <bgColor rgb="FFFF0000"/>
                </patternFill>
              </fill>
            </x14:dxf>
          </x14:cfRule>
          <xm:sqref>E31</xm:sqref>
        </x14:conditionalFormatting>
        <x14:conditionalFormatting xmlns:xm="http://schemas.microsoft.com/office/excel/2006/main">
          <x14:cfRule type="expression" priority="15" id="{C6365298-E084-4070-AC97-7ADEEF94FC51}">
            <xm:f>AND(Export!$F$69&lt;&gt;"N/A", Export!$F$69&lt;&gt;"")</xm:f>
            <x14:dxf>
              <font>
                <color auto="1"/>
              </font>
              <fill>
                <patternFill>
                  <bgColor rgb="FFFF0000"/>
                </patternFill>
              </fill>
            </x14:dxf>
          </x14:cfRule>
          <xm:sqref>E32</xm:sqref>
        </x14:conditionalFormatting>
        <x14:conditionalFormatting xmlns:xm="http://schemas.microsoft.com/office/excel/2006/main">
          <x14:cfRule type="expression" priority="14" id="{E7347D73-8670-482F-A032-2ECA2C31D5AC}">
            <xm:f>AND(Export!$F$72&lt;&gt;"N/A", Export!$F$72&lt;&gt;"")</xm:f>
            <x14:dxf>
              <font>
                <color auto="1"/>
              </font>
              <fill>
                <patternFill>
                  <bgColor rgb="FFFF0000"/>
                </patternFill>
              </fill>
            </x14:dxf>
          </x14:cfRule>
          <xm:sqref>E33</xm:sqref>
        </x14:conditionalFormatting>
        <x14:conditionalFormatting xmlns:xm="http://schemas.microsoft.com/office/excel/2006/main">
          <x14:cfRule type="expression" priority="13" id="{B94B5520-0C6F-4267-B8BC-0AA8F7C1DE18}">
            <xm:f>AND(Export!$F$73&lt;&gt;"N/A", Export!$F$73&lt;&gt;"")</xm:f>
            <x14:dxf>
              <font>
                <color auto="1"/>
              </font>
              <fill>
                <patternFill>
                  <bgColor rgb="FFFF0000"/>
                </patternFill>
              </fill>
            </x14:dxf>
          </x14:cfRule>
          <xm:sqref>E34</xm:sqref>
        </x14:conditionalFormatting>
        <x14:conditionalFormatting xmlns:xm="http://schemas.microsoft.com/office/excel/2006/main">
          <x14:cfRule type="expression" priority="12" id="{56F061CE-CB24-4CFB-8F34-83D36CAEF03A}">
            <xm:f>AND(Export!$F$155&lt;&gt;"N/A", Export!$F$155&lt;&gt;"")</xm:f>
            <x14:dxf>
              <font>
                <color auto="1"/>
              </font>
              <fill>
                <patternFill>
                  <bgColor rgb="FFFF0000"/>
                </patternFill>
              </fill>
            </x14:dxf>
          </x14:cfRule>
          <xm:sqref>E35</xm:sqref>
        </x14:conditionalFormatting>
        <x14:conditionalFormatting xmlns:xm="http://schemas.microsoft.com/office/excel/2006/main">
          <x14:cfRule type="expression" priority="11" id="{DD36FDEA-37CB-4896-93DB-6D57905BCA44}">
            <xm:f>AND(Export!$F$156&lt;&gt;"N/A", Export!$F$156&lt;&gt;"")</xm:f>
            <x14:dxf>
              <font>
                <color auto="1"/>
              </font>
              <fill>
                <patternFill>
                  <bgColor rgb="FFFF0000"/>
                </patternFill>
              </fill>
            </x14:dxf>
          </x14:cfRule>
          <xm:sqref>E36</xm:sqref>
        </x14:conditionalFormatting>
        <x14:conditionalFormatting xmlns:xm="http://schemas.microsoft.com/office/excel/2006/main">
          <x14:cfRule type="expression" priority="10" id="{BEA32671-C98C-457A-8018-ECB6A3EBF50A}">
            <xm:f>AND(Export!$F$101&lt;&gt;"N/A", Export!$F$101&lt;&gt;"")</xm:f>
            <x14:dxf>
              <font>
                <color auto="1"/>
              </font>
              <fill>
                <patternFill>
                  <bgColor rgb="FFFF0000"/>
                </patternFill>
              </fill>
            </x14:dxf>
          </x14:cfRule>
          <xm:sqref>E38</xm:sqref>
        </x14:conditionalFormatting>
        <x14:conditionalFormatting xmlns:xm="http://schemas.microsoft.com/office/excel/2006/main">
          <x14:cfRule type="expression" priority="9" id="{7A79FB19-31D7-4D51-9DD0-637D05A193C5}">
            <xm:f>AND(Export!$F$33&lt;&gt;"N/A", Export!$F$33&lt;&gt;"")</xm:f>
            <x14:dxf>
              <font>
                <color auto="1"/>
              </font>
              <fill>
                <patternFill>
                  <bgColor rgb="FFFF0000"/>
                </patternFill>
              </fill>
            </x14:dxf>
          </x14:cfRule>
          <xm:sqref>E39</xm:sqref>
        </x14:conditionalFormatting>
        <x14:conditionalFormatting xmlns:xm="http://schemas.microsoft.com/office/excel/2006/main">
          <x14:cfRule type="expression" priority="1" id="{6ADFAF10-9B50-4E24-A406-FF12D530B682}">
            <xm:f>AND(Export!$F$100&lt;&gt;"N/A", Export!$F$100&lt;&gt;"")</xm:f>
            <x14:dxf>
              <font>
                <color auto="1"/>
              </font>
              <fill>
                <patternFill>
                  <bgColor rgb="FFFFFF00"/>
                </patternFill>
              </fill>
            </x14:dxf>
          </x14:cfRule>
          <xm:sqref>E40</xm:sqref>
        </x14:conditionalFormatting>
        <x14:conditionalFormatting xmlns:xm="http://schemas.microsoft.com/office/excel/2006/main">
          <x14:cfRule type="expression" priority="4" id="{75EFD3D5-51CB-4740-951D-2C0E62081A1F}">
            <xm:f>AND(Export!$F$152&lt;&gt;"N/A", Export!$F$152&lt;&gt;"")</xm:f>
            <x14:dxf>
              <font>
                <color auto="1"/>
              </font>
              <fill>
                <patternFill>
                  <bgColor rgb="FFFF9900"/>
                </patternFill>
              </fill>
            </x14:dxf>
          </x14:cfRule>
          <xm:sqref>E44</xm:sqref>
        </x14:conditionalFormatting>
        <x14:conditionalFormatting xmlns:xm="http://schemas.microsoft.com/office/excel/2006/main">
          <x14:cfRule type="expression" priority="3" id="{2E4E65EF-79F5-4E0C-AC03-0C4C769CE426}">
            <xm:f>AND(Export!$F$102&lt;&gt;"N/A", Export!$F$102&lt;&gt;"")</xm:f>
            <x14:dxf>
              <font>
                <color auto="1"/>
              </font>
              <fill>
                <patternFill>
                  <bgColor rgb="FFFF9900"/>
                </patternFill>
              </fill>
            </x14:dxf>
          </x14:cfRule>
          <xm:sqref>E45</xm:sqref>
        </x14:conditionalFormatting>
        <x14:conditionalFormatting xmlns:xm="http://schemas.microsoft.com/office/excel/2006/main">
          <x14:cfRule type="expression" priority="8" id="{6EC29E44-2542-4D4B-9521-65A43E5D6F46}">
            <xm:f>AND(Export!$F$158&lt;&gt;"N/A", Export!$F$158&lt;&gt;"")</xm:f>
            <x14:dxf>
              <font>
                <color auto="1"/>
              </font>
              <fill>
                <patternFill>
                  <bgColor rgb="FFFF0000"/>
                </patternFill>
              </fill>
            </x14:dxf>
          </x14:cfRule>
          <xm:sqref>E47</xm:sqref>
        </x14:conditionalFormatting>
        <x14:conditionalFormatting xmlns:xm="http://schemas.microsoft.com/office/excel/2006/main">
          <x14:cfRule type="expression" priority="7" id="{A29A95E0-0577-4FBB-BA55-2199EABCA6B3}">
            <xm:f>AND(Export!$F$30&lt;&gt;"N/A", Export!$F$30&lt;&gt;"")</xm:f>
            <x14:dxf>
              <font>
                <color auto="1"/>
              </font>
              <fill>
                <patternFill>
                  <bgColor rgb="FFFF0000"/>
                </patternFill>
              </fill>
            </x14:dxf>
          </x14:cfRule>
          <xm:sqref>E48</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707A62-776B-4D5D-A4B6-1129EFFC96A0}">
  <dimension ref="A1:L171"/>
  <sheetViews>
    <sheetView workbookViewId="0">
      <selection activeCell="C12" sqref="C12"/>
    </sheetView>
  </sheetViews>
  <sheetFormatPr defaultRowHeight="14.5" x14ac:dyDescent="0.35"/>
  <cols>
    <col min="1" max="1" width="23.453125" customWidth="1"/>
    <col min="2" max="2" width="23.6328125" customWidth="1"/>
    <col min="3" max="3" width="54.08984375" customWidth="1"/>
    <col min="4" max="4" width="52.08984375" customWidth="1"/>
    <col min="5" max="5" width="43.453125" customWidth="1"/>
    <col min="6" max="6" width="17" customWidth="1"/>
    <col min="7" max="7" width="32.6328125" customWidth="1"/>
    <col min="8" max="8" width="35.453125" customWidth="1"/>
    <col min="9" max="9" width="60.6328125" customWidth="1"/>
    <col min="10" max="10" width="62.90625" customWidth="1"/>
    <col min="11" max="11" width="25.90625" style="56" customWidth="1"/>
    <col min="12" max="12" width="36.453125" customWidth="1"/>
    <col min="13" max="15" width="29.1796875" customWidth="1"/>
  </cols>
  <sheetData>
    <row r="1" spans="1:12" ht="18.75" customHeight="1" x14ac:dyDescent="0.35">
      <c r="A1" s="74" t="s">
        <v>82</v>
      </c>
      <c r="B1" s="74" t="s">
        <v>83</v>
      </c>
      <c r="C1" s="75" t="s">
        <v>84</v>
      </c>
      <c r="D1" s="74" t="s">
        <v>85</v>
      </c>
      <c r="E1" s="74" t="s">
        <v>86</v>
      </c>
      <c r="F1" s="74" t="s">
        <v>87</v>
      </c>
      <c r="G1" s="74" t="s">
        <v>88</v>
      </c>
      <c r="H1" s="74" t="s">
        <v>89</v>
      </c>
      <c r="I1" s="74" t="s">
        <v>90</v>
      </c>
      <c r="J1" s="74" t="s">
        <v>91</v>
      </c>
      <c r="K1" s="76" t="s">
        <v>92</v>
      </c>
      <c r="L1" s="74" t="s">
        <v>93</v>
      </c>
    </row>
    <row r="2" spans="1:12" x14ac:dyDescent="0.35">
      <c r="A2" s="116" t="s">
        <v>94</v>
      </c>
      <c r="B2" t="s">
        <v>95</v>
      </c>
      <c r="C2" s="77"/>
      <c r="D2" t="s">
        <v>96</v>
      </c>
      <c r="E2" t="s">
        <v>643</v>
      </c>
      <c r="F2" s="70" t="s">
        <v>97</v>
      </c>
      <c r="G2" t="s">
        <v>97</v>
      </c>
      <c r="H2" t="s">
        <v>97</v>
      </c>
      <c r="I2" t="s">
        <v>97</v>
      </c>
      <c r="J2" t="s">
        <v>97</v>
      </c>
      <c r="K2" s="56">
        <v>45524.837905092594</v>
      </c>
      <c r="L2" t="s">
        <v>644</v>
      </c>
    </row>
    <row r="3" spans="1:12" x14ac:dyDescent="0.35">
      <c r="A3" s="117"/>
      <c r="B3" t="s">
        <v>98</v>
      </c>
      <c r="C3" s="77"/>
      <c r="D3" t="s">
        <v>99</v>
      </c>
      <c r="E3" t="s">
        <v>645</v>
      </c>
      <c r="F3" s="70" t="s">
        <v>97</v>
      </c>
      <c r="G3" t="s">
        <v>97</v>
      </c>
      <c r="H3" t="s">
        <v>97</v>
      </c>
      <c r="I3" t="s">
        <v>97</v>
      </c>
      <c r="J3" t="s">
        <v>97</v>
      </c>
      <c r="K3" s="56">
        <v>45055.645185185182</v>
      </c>
      <c r="L3" t="s">
        <v>644</v>
      </c>
    </row>
    <row r="4" spans="1:12" x14ac:dyDescent="0.35">
      <c r="A4" s="117"/>
      <c r="B4" t="s">
        <v>100</v>
      </c>
      <c r="C4" s="77"/>
      <c r="D4" t="s">
        <v>101</v>
      </c>
      <c r="E4" t="s">
        <v>102</v>
      </c>
      <c r="F4" s="70" t="s">
        <v>97</v>
      </c>
      <c r="G4" t="s">
        <v>97</v>
      </c>
      <c r="H4" t="s">
        <v>97</v>
      </c>
      <c r="I4" t="s">
        <v>97</v>
      </c>
      <c r="J4" t="s">
        <v>97</v>
      </c>
      <c r="K4" s="56">
        <v>45055.645254629628</v>
      </c>
      <c r="L4" t="s">
        <v>644</v>
      </c>
    </row>
    <row r="5" spans="1:12" x14ac:dyDescent="0.35">
      <c r="A5" s="117"/>
      <c r="B5" t="s">
        <v>103</v>
      </c>
      <c r="C5" s="77"/>
      <c r="D5" t="s">
        <v>104</v>
      </c>
      <c r="E5" t="s">
        <v>646</v>
      </c>
      <c r="F5" s="70" t="s">
        <v>97</v>
      </c>
      <c r="G5" t="s">
        <v>97</v>
      </c>
      <c r="H5" t="s">
        <v>97</v>
      </c>
      <c r="I5" t="s">
        <v>97</v>
      </c>
      <c r="J5" t="s">
        <v>97</v>
      </c>
      <c r="K5" s="56">
        <v>45524.838240740741</v>
      </c>
      <c r="L5" t="s">
        <v>644</v>
      </c>
    </row>
    <row r="6" spans="1:12" x14ac:dyDescent="0.35">
      <c r="A6" s="117"/>
      <c r="B6" t="s">
        <v>105</v>
      </c>
      <c r="C6" s="77"/>
      <c r="D6" t="s">
        <v>106</v>
      </c>
      <c r="E6" t="s">
        <v>102</v>
      </c>
      <c r="F6" s="70" t="s">
        <v>97</v>
      </c>
      <c r="G6" t="s">
        <v>97</v>
      </c>
      <c r="H6" t="s">
        <v>97</v>
      </c>
      <c r="I6" t="s">
        <v>97</v>
      </c>
      <c r="J6" t="s">
        <v>97</v>
      </c>
      <c r="K6" s="56">
        <v>45055.655729166669</v>
      </c>
      <c r="L6" t="s">
        <v>644</v>
      </c>
    </row>
    <row r="7" spans="1:12" ht="58" x14ac:dyDescent="0.35">
      <c r="A7" s="117"/>
      <c r="B7" t="s">
        <v>108</v>
      </c>
      <c r="C7" s="77"/>
      <c r="D7" t="s">
        <v>109</v>
      </c>
      <c r="E7" s="78" t="s">
        <v>647</v>
      </c>
      <c r="F7" s="70" t="s">
        <v>97</v>
      </c>
      <c r="G7" t="s">
        <v>97</v>
      </c>
      <c r="H7" t="s">
        <v>97</v>
      </c>
      <c r="I7" t="s">
        <v>97</v>
      </c>
      <c r="J7" t="s">
        <v>97</v>
      </c>
      <c r="K7" s="56">
        <v>45055.656099537038</v>
      </c>
      <c r="L7" t="s">
        <v>644</v>
      </c>
    </row>
    <row r="8" spans="1:12" x14ac:dyDescent="0.35">
      <c r="A8" s="117"/>
      <c r="B8" t="s">
        <v>110</v>
      </c>
      <c r="C8" s="77"/>
      <c r="D8" t="s">
        <v>111</v>
      </c>
      <c r="E8" t="s">
        <v>102</v>
      </c>
      <c r="F8" s="70" t="s">
        <v>97</v>
      </c>
      <c r="G8" t="s">
        <v>97</v>
      </c>
      <c r="H8" t="s">
        <v>97</v>
      </c>
      <c r="I8" t="s">
        <v>97</v>
      </c>
      <c r="J8" t="s">
        <v>97</v>
      </c>
      <c r="K8" s="56">
        <v>45055.646134259259</v>
      </c>
      <c r="L8" t="s">
        <v>644</v>
      </c>
    </row>
    <row r="9" spans="1:12" x14ac:dyDescent="0.35">
      <c r="A9" s="117"/>
      <c r="B9" t="s">
        <v>112</v>
      </c>
      <c r="C9" s="77"/>
      <c r="D9" t="s">
        <v>113</v>
      </c>
      <c r="E9" t="s">
        <v>541</v>
      </c>
      <c r="F9" s="70" t="s">
        <v>97</v>
      </c>
      <c r="G9" t="s">
        <v>97</v>
      </c>
      <c r="H9" t="s">
        <v>97</v>
      </c>
      <c r="I9" t="s">
        <v>97</v>
      </c>
      <c r="J9" t="s">
        <v>97</v>
      </c>
      <c r="K9" s="56">
        <v>45524.840925925928</v>
      </c>
      <c r="L9" t="s">
        <v>644</v>
      </c>
    </row>
    <row r="10" spans="1:12" x14ac:dyDescent="0.35">
      <c r="A10" s="117"/>
      <c r="B10" t="s">
        <v>114</v>
      </c>
      <c r="C10" s="77"/>
      <c r="D10" t="s">
        <v>115</v>
      </c>
      <c r="E10" t="s">
        <v>648</v>
      </c>
      <c r="F10" s="70" t="s">
        <v>97</v>
      </c>
      <c r="G10" t="s">
        <v>97</v>
      </c>
      <c r="H10" t="s">
        <v>97</v>
      </c>
      <c r="I10" t="s">
        <v>97</v>
      </c>
      <c r="J10" t="s">
        <v>97</v>
      </c>
      <c r="K10" s="56">
        <v>45524.841226851851</v>
      </c>
      <c r="L10" t="s">
        <v>644</v>
      </c>
    </row>
    <row r="11" spans="1:12" x14ac:dyDescent="0.35">
      <c r="A11" s="117"/>
      <c r="B11" t="s">
        <v>116</v>
      </c>
      <c r="C11" s="77"/>
      <c r="D11" t="s">
        <v>117</v>
      </c>
      <c r="E11" t="s">
        <v>649</v>
      </c>
      <c r="F11" s="70" t="s">
        <v>97</v>
      </c>
      <c r="G11" t="s">
        <v>97</v>
      </c>
      <c r="H11" t="s">
        <v>97</v>
      </c>
      <c r="I11" t="s">
        <v>97</v>
      </c>
      <c r="J11" t="s">
        <v>97</v>
      </c>
      <c r="K11" s="56">
        <v>45524.841319444444</v>
      </c>
      <c r="L11" t="s">
        <v>644</v>
      </c>
    </row>
    <row r="12" spans="1:12" x14ac:dyDescent="0.35">
      <c r="A12" s="117"/>
      <c r="B12" t="s">
        <v>118</v>
      </c>
      <c r="C12" s="77"/>
      <c r="D12" t="s">
        <v>119</v>
      </c>
      <c r="E12" t="s">
        <v>542</v>
      </c>
      <c r="F12" s="70" t="s">
        <v>97</v>
      </c>
      <c r="G12" t="s">
        <v>97</v>
      </c>
      <c r="H12" t="s">
        <v>97</v>
      </c>
      <c r="I12" t="s">
        <v>97</v>
      </c>
      <c r="J12" t="s">
        <v>97</v>
      </c>
      <c r="K12" s="56">
        <v>45055.647291666668</v>
      </c>
      <c r="L12" t="s">
        <v>644</v>
      </c>
    </row>
    <row r="13" spans="1:12" x14ac:dyDescent="0.35">
      <c r="A13" s="117"/>
      <c r="B13" t="s">
        <v>120</v>
      </c>
      <c r="C13" s="77"/>
      <c r="D13" t="s">
        <v>121</v>
      </c>
      <c r="E13" t="s">
        <v>122</v>
      </c>
      <c r="F13" s="70" t="s">
        <v>97</v>
      </c>
      <c r="G13" t="s">
        <v>97</v>
      </c>
      <c r="H13" t="s">
        <v>97</v>
      </c>
      <c r="I13" t="s">
        <v>97</v>
      </c>
      <c r="J13" t="s">
        <v>97</v>
      </c>
      <c r="K13" s="56">
        <v>45055.647453703707</v>
      </c>
      <c r="L13" t="s">
        <v>644</v>
      </c>
    </row>
    <row r="14" spans="1:12" x14ac:dyDescent="0.35">
      <c r="A14" s="117"/>
      <c r="B14" t="s">
        <v>123</v>
      </c>
      <c r="C14" s="77"/>
      <c r="D14" t="s">
        <v>124</v>
      </c>
      <c r="E14" t="s">
        <v>650</v>
      </c>
      <c r="F14" s="70" t="s">
        <v>97</v>
      </c>
      <c r="G14" t="s">
        <v>97</v>
      </c>
      <c r="H14" t="s">
        <v>97</v>
      </c>
      <c r="I14" t="s">
        <v>97</v>
      </c>
      <c r="J14" t="s">
        <v>97</v>
      </c>
      <c r="K14" s="56">
        <v>45993.680277777778</v>
      </c>
      <c r="L14" t="s">
        <v>644</v>
      </c>
    </row>
    <row r="15" spans="1:12" x14ac:dyDescent="0.35">
      <c r="A15" s="117"/>
      <c r="B15" t="s">
        <v>125</v>
      </c>
      <c r="C15" s="77"/>
      <c r="D15" t="s">
        <v>126</v>
      </c>
      <c r="E15" t="s">
        <v>651</v>
      </c>
      <c r="F15" s="70" t="s">
        <v>97</v>
      </c>
      <c r="G15" t="s">
        <v>97</v>
      </c>
      <c r="H15" t="s">
        <v>97</v>
      </c>
      <c r="I15" t="s">
        <v>97</v>
      </c>
      <c r="J15" t="s">
        <v>97</v>
      </c>
      <c r="K15" s="56">
        <v>45993.681134259263</v>
      </c>
      <c r="L15" t="s">
        <v>644</v>
      </c>
    </row>
    <row r="16" spans="1:12" x14ac:dyDescent="0.35">
      <c r="A16" s="117"/>
      <c r="B16" t="s">
        <v>127</v>
      </c>
      <c r="C16" s="77"/>
      <c r="D16" t="s">
        <v>128</v>
      </c>
      <c r="E16" t="s">
        <v>107</v>
      </c>
      <c r="F16" s="70" t="s">
        <v>97</v>
      </c>
      <c r="G16" t="s">
        <v>97</v>
      </c>
      <c r="H16" t="s">
        <v>97</v>
      </c>
      <c r="I16" t="s">
        <v>97</v>
      </c>
      <c r="J16" t="s">
        <v>97</v>
      </c>
      <c r="K16" s="56">
        <v>45055.650451388887</v>
      </c>
      <c r="L16" t="s">
        <v>644</v>
      </c>
    </row>
    <row r="17" spans="1:12" x14ac:dyDescent="0.35">
      <c r="A17" s="117"/>
      <c r="B17" t="s">
        <v>129</v>
      </c>
      <c r="C17" s="77"/>
      <c r="D17" t="s">
        <v>130</v>
      </c>
      <c r="E17" t="s">
        <v>107</v>
      </c>
      <c r="F17" s="70" t="s">
        <v>97</v>
      </c>
      <c r="G17" t="s">
        <v>97</v>
      </c>
      <c r="H17" t="s">
        <v>97</v>
      </c>
      <c r="I17" t="s">
        <v>97</v>
      </c>
      <c r="J17" t="s">
        <v>97</v>
      </c>
      <c r="K17" s="56">
        <v>45055.651678240742</v>
      </c>
      <c r="L17" t="s">
        <v>644</v>
      </c>
    </row>
    <row r="18" spans="1:12" x14ac:dyDescent="0.35">
      <c r="A18" s="117"/>
      <c r="B18" t="s">
        <v>131</v>
      </c>
      <c r="C18" s="77"/>
      <c r="D18" t="s">
        <v>132</v>
      </c>
      <c r="E18" t="s">
        <v>102</v>
      </c>
      <c r="F18" s="70" t="s">
        <v>97</v>
      </c>
      <c r="G18" t="s">
        <v>97</v>
      </c>
      <c r="H18" t="s">
        <v>97</v>
      </c>
      <c r="I18" t="s">
        <v>97</v>
      </c>
      <c r="J18" t="s">
        <v>97</v>
      </c>
      <c r="K18" s="56">
        <v>45055.650636574072</v>
      </c>
      <c r="L18" t="s">
        <v>644</v>
      </c>
    </row>
    <row r="19" spans="1:12" x14ac:dyDescent="0.35">
      <c r="A19" s="117"/>
      <c r="B19" t="s">
        <v>133</v>
      </c>
      <c r="C19" s="77"/>
      <c r="D19" t="s">
        <v>134</v>
      </c>
      <c r="E19" t="s">
        <v>543</v>
      </c>
      <c r="F19" s="70" t="s">
        <v>97</v>
      </c>
      <c r="G19" t="s">
        <v>97</v>
      </c>
      <c r="H19" t="s">
        <v>97</v>
      </c>
      <c r="I19" t="s">
        <v>97</v>
      </c>
      <c r="J19" t="s">
        <v>97</v>
      </c>
      <c r="K19" s="56">
        <v>45055.650648148148</v>
      </c>
      <c r="L19" t="s">
        <v>644</v>
      </c>
    </row>
    <row r="20" spans="1:12" x14ac:dyDescent="0.35">
      <c r="A20" s="116" t="s">
        <v>135</v>
      </c>
      <c r="B20" t="s">
        <v>136</v>
      </c>
      <c r="C20" s="77"/>
      <c r="D20" t="s">
        <v>137</v>
      </c>
      <c r="E20" t="s">
        <v>652</v>
      </c>
      <c r="F20" s="70"/>
      <c r="G20" t="s">
        <v>138</v>
      </c>
      <c r="K20" s="56">
        <v>45070.745567129627</v>
      </c>
      <c r="L20" t="s">
        <v>653</v>
      </c>
    </row>
    <row r="21" spans="1:12" x14ac:dyDescent="0.35">
      <c r="A21" s="117"/>
      <c r="B21" t="s">
        <v>139</v>
      </c>
      <c r="C21" s="77"/>
      <c r="D21" t="s">
        <v>140</v>
      </c>
      <c r="E21" t="s">
        <v>102</v>
      </c>
      <c r="F21" s="70"/>
      <c r="G21" t="s">
        <v>141</v>
      </c>
      <c r="K21" s="56">
        <v>45055.661712962959</v>
      </c>
      <c r="L21" t="s">
        <v>644</v>
      </c>
    </row>
    <row r="22" spans="1:12" x14ac:dyDescent="0.35">
      <c r="A22" s="117"/>
      <c r="B22" t="s">
        <v>142</v>
      </c>
      <c r="C22" s="77"/>
      <c r="D22" t="s">
        <v>143</v>
      </c>
      <c r="E22" t="s">
        <v>102</v>
      </c>
      <c r="F22" s="70"/>
      <c r="G22" t="s">
        <v>144</v>
      </c>
      <c r="K22" s="56">
        <v>45070.745775462965</v>
      </c>
      <c r="L22" t="s">
        <v>653</v>
      </c>
    </row>
    <row r="23" spans="1:12" ht="72.5" x14ac:dyDescent="0.35">
      <c r="A23" s="117"/>
      <c r="B23" t="s">
        <v>145</v>
      </c>
      <c r="C23" s="77"/>
      <c r="D23" t="s">
        <v>146</v>
      </c>
      <c r="E23" t="s">
        <v>654</v>
      </c>
      <c r="F23" s="71" t="s">
        <v>147</v>
      </c>
      <c r="H23" s="78" t="s">
        <v>655</v>
      </c>
      <c r="I23" s="78" t="s">
        <v>656</v>
      </c>
      <c r="J23" s="78" t="s">
        <v>657</v>
      </c>
      <c r="K23" s="56">
        <v>45524.843229166669</v>
      </c>
      <c r="L23" t="s">
        <v>644</v>
      </c>
    </row>
    <row r="24" spans="1:12" x14ac:dyDescent="0.35">
      <c r="A24" s="117"/>
      <c r="B24" t="s">
        <v>148</v>
      </c>
      <c r="C24" s="77"/>
      <c r="D24" t="s">
        <v>149</v>
      </c>
      <c r="E24" t="s">
        <v>102</v>
      </c>
      <c r="F24" s="70"/>
      <c r="G24" t="s">
        <v>544</v>
      </c>
      <c r="K24" s="56">
        <v>45055.661956018521</v>
      </c>
      <c r="L24" t="s">
        <v>644</v>
      </c>
    </row>
    <row r="25" spans="1:12" x14ac:dyDescent="0.35">
      <c r="A25" s="117"/>
      <c r="B25" t="s">
        <v>150</v>
      </c>
      <c r="C25" s="77"/>
      <c r="D25" t="s">
        <v>151</v>
      </c>
      <c r="E25" t="s">
        <v>107</v>
      </c>
      <c r="F25" s="70"/>
      <c r="G25" t="s">
        <v>545</v>
      </c>
      <c r="K25" s="56">
        <v>46034.735706018517</v>
      </c>
      <c r="L25" t="s">
        <v>658</v>
      </c>
    </row>
    <row r="26" spans="1:12" ht="43.5" x14ac:dyDescent="0.35">
      <c r="A26" s="117"/>
      <c r="B26" t="s">
        <v>153</v>
      </c>
      <c r="C26" s="77"/>
      <c r="D26" t="s">
        <v>154</v>
      </c>
      <c r="E26" t="s">
        <v>107</v>
      </c>
      <c r="F26" s="70"/>
      <c r="G26" s="78" t="s">
        <v>546</v>
      </c>
      <c r="K26" s="56">
        <v>45055.662210648145</v>
      </c>
      <c r="L26" t="s">
        <v>644</v>
      </c>
    </row>
    <row r="27" spans="1:12" ht="87" x14ac:dyDescent="0.35">
      <c r="A27" s="117"/>
      <c r="B27" t="s">
        <v>155</v>
      </c>
      <c r="C27" s="77"/>
      <c r="D27" t="s">
        <v>156</v>
      </c>
      <c r="E27" t="s">
        <v>157</v>
      </c>
      <c r="F27" s="73" t="s">
        <v>158</v>
      </c>
      <c r="H27" s="78" t="s">
        <v>547</v>
      </c>
      <c r="I27" s="78" t="s">
        <v>548</v>
      </c>
      <c r="J27" t="s">
        <v>159</v>
      </c>
      <c r="K27" s="56">
        <v>45070.745925925927</v>
      </c>
      <c r="L27" t="s">
        <v>653</v>
      </c>
    </row>
    <row r="28" spans="1:12" x14ac:dyDescent="0.35">
      <c r="A28" s="117"/>
      <c r="B28" t="s">
        <v>160</v>
      </c>
      <c r="C28" s="77"/>
      <c r="D28" t="s">
        <v>161</v>
      </c>
      <c r="E28" t="s">
        <v>102</v>
      </c>
      <c r="F28" s="70"/>
      <c r="G28" t="s">
        <v>162</v>
      </c>
      <c r="K28" s="56">
        <v>45055.662476851852</v>
      </c>
      <c r="L28" t="s">
        <v>644</v>
      </c>
    </row>
    <row r="29" spans="1:12" x14ac:dyDescent="0.35">
      <c r="A29" s="117"/>
      <c r="B29" t="s">
        <v>163</v>
      </c>
      <c r="C29" s="77"/>
      <c r="D29" t="s">
        <v>164</v>
      </c>
      <c r="E29" t="s">
        <v>102</v>
      </c>
      <c r="F29" s="70"/>
      <c r="G29" t="s">
        <v>549</v>
      </c>
      <c r="K29" s="56">
        <v>45070.746099537035</v>
      </c>
      <c r="L29" t="s">
        <v>653</v>
      </c>
    </row>
    <row r="30" spans="1:12" x14ac:dyDescent="0.35">
      <c r="A30" s="117"/>
      <c r="B30" t="s">
        <v>165</v>
      </c>
      <c r="C30" s="77"/>
      <c r="D30" t="s">
        <v>166</v>
      </c>
      <c r="E30" t="s">
        <v>659</v>
      </c>
      <c r="F30" s="71" t="s">
        <v>147</v>
      </c>
      <c r="H30" t="s">
        <v>660</v>
      </c>
      <c r="I30" t="s">
        <v>661</v>
      </c>
      <c r="J30" t="s">
        <v>662</v>
      </c>
      <c r="K30" s="56">
        <v>45070.746180555558</v>
      </c>
      <c r="L30" t="s">
        <v>653</v>
      </c>
    </row>
    <row r="31" spans="1:12" x14ac:dyDescent="0.35">
      <c r="A31" s="117"/>
      <c r="B31" t="s">
        <v>167</v>
      </c>
      <c r="C31" s="77"/>
      <c r="D31" t="s">
        <v>168</v>
      </c>
      <c r="E31" t="s">
        <v>102</v>
      </c>
      <c r="F31" s="70"/>
      <c r="G31" t="s">
        <v>169</v>
      </c>
      <c r="K31" s="56">
        <v>45055.662881944445</v>
      </c>
      <c r="L31" t="s">
        <v>644</v>
      </c>
    </row>
    <row r="32" spans="1:12" x14ac:dyDescent="0.35">
      <c r="A32" s="117"/>
      <c r="B32" t="s">
        <v>170</v>
      </c>
      <c r="C32" s="77"/>
      <c r="D32" t="s">
        <v>171</v>
      </c>
      <c r="E32" t="s">
        <v>550</v>
      </c>
      <c r="F32" s="73" t="s">
        <v>158</v>
      </c>
      <c r="H32" t="s">
        <v>551</v>
      </c>
      <c r="I32" t="s">
        <v>172</v>
      </c>
      <c r="J32" t="s">
        <v>173</v>
      </c>
      <c r="K32" s="56">
        <v>45070.74627314815</v>
      </c>
      <c r="L32" t="s">
        <v>653</v>
      </c>
    </row>
    <row r="33" spans="1:12" x14ac:dyDescent="0.35">
      <c r="A33" s="117"/>
      <c r="B33" t="s">
        <v>174</v>
      </c>
      <c r="C33" s="77"/>
      <c r="D33" t="s">
        <v>175</v>
      </c>
      <c r="E33" t="s">
        <v>552</v>
      </c>
      <c r="F33" s="70"/>
      <c r="G33" t="s">
        <v>553</v>
      </c>
      <c r="K33" s="56">
        <v>45070.746331018519</v>
      </c>
      <c r="L33" t="s">
        <v>653</v>
      </c>
    </row>
    <row r="34" spans="1:12" x14ac:dyDescent="0.35">
      <c r="A34" s="117"/>
      <c r="B34" t="s">
        <v>176</v>
      </c>
      <c r="C34" s="77"/>
      <c r="D34" t="s">
        <v>177</v>
      </c>
      <c r="E34" t="s">
        <v>663</v>
      </c>
      <c r="F34" s="70"/>
      <c r="G34" t="s">
        <v>664</v>
      </c>
      <c r="K34" s="56">
        <v>45055.668483796297</v>
      </c>
      <c r="L34" t="s">
        <v>644</v>
      </c>
    </row>
    <row r="35" spans="1:12" x14ac:dyDescent="0.35">
      <c r="A35" s="117"/>
      <c r="B35" t="s">
        <v>178</v>
      </c>
      <c r="C35" s="77"/>
      <c r="D35" t="s">
        <v>179</v>
      </c>
      <c r="E35" t="s">
        <v>665</v>
      </c>
      <c r="F35" s="73" t="s">
        <v>158</v>
      </c>
      <c r="H35" t="s">
        <v>666</v>
      </c>
      <c r="I35" t="s">
        <v>667</v>
      </c>
      <c r="J35" t="s">
        <v>668</v>
      </c>
      <c r="K35" s="56">
        <v>45055.669016203705</v>
      </c>
      <c r="L35" t="s">
        <v>644</v>
      </c>
    </row>
    <row r="36" spans="1:12" x14ac:dyDescent="0.35">
      <c r="A36" s="117"/>
      <c r="B36" t="s">
        <v>180</v>
      </c>
      <c r="C36" s="77"/>
      <c r="D36" t="s">
        <v>181</v>
      </c>
      <c r="E36" t="s">
        <v>669</v>
      </c>
      <c r="F36" s="70"/>
      <c r="G36" t="s">
        <v>670</v>
      </c>
      <c r="K36" s="56">
        <v>45055.669444444444</v>
      </c>
      <c r="L36" t="s">
        <v>644</v>
      </c>
    </row>
    <row r="37" spans="1:12" ht="58" x14ac:dyDescent="0.35">
      <c r="A37" s="117"/>
      <c r="B37" t="s">
        <v>182</v>
      </c>
      <c r="C37" s="77"/>
      <c r="D37" t="s">
        <v>183</v>
      </c>
      <c r="E37" t="s">
        <v>671</v>
      </c>
      <c r="F37" s="70"/>
      <c r="G37" s="78" t="s">
        <v>554</v>
      </c>
      <c r="K37" s="56">
        <v>45055.667488425926</v>
      </c>
      <c r="L37" t="s">
        <v>644</v>
      </c>
    </row>
    <row r="38" spans="1:12" x14ac:dyDescent="0.35">
      <c r="A38" s="117"/>
      <c r="B38" t="s">
        <v>184</v>
      </c>
      <c r="C38" s="77"/>
      <c r="D38" t="s">
        <v>185</v>
      </c>
      <c r="E38" t="s">
        <v>672</v>
      </c>
      <c r="F38" s="70"/>
      <c r="G38" t="s">
        <v>673</v>
      </c>
      <c r="K38" s="56">
        <v>45055.669930555552</v>
      </c>
      <c r="L38" t="s">
        <v>644</v>
      </c>
    </row>
    <row r="39" spans="1:12" x14ac:dyDescent="0.35">
      <c r="A39" s="117"/>
      <c r="B39" t="s">
        <v>186</v>
      </c>
      <c r="C39" s="77"/>
      <c r="D39" t="s">
        <v>187</v>
      </c>
      <c r="E39" t="s">
        <v>188</v>
      </c>
      <c r="F39" s="70"/>
      <c r="G39" t="s">
        <v>189</v>
      </c>
      <c r="K39" s="56">
        <v>45055.670011574075</v>
      </c>
      <c r="L39" t="s">
        <v>644</v>
      </c>
    </row>
    <row r="40" spans="1:12" x14ac:dyDescent="0.35">
      <c r="A40" s="29" t="s">
        <v>190</v>
      </c>
      <c r="B40" t="s">
        <v>191</v>
      </c>
      <c r="C40" s="77"/>
      <c r="D40" t="s">
        <v>192</v>
      </c>
      <c r="E40" t="s">
        <v>102</v>
      </c>
      <c r="F40" s="70"/>
      <c r="G40" t="s">
        <v>193</v>
      </c>
      <c r="K40" s="56">
        <v>45085.742986111109</v>
      </c>
      <c r="L40" t="s">
        <v>644</v>
      </c>
    </row>
    <row r="41" spans="1:12" x14ac:dyDescent="0.35">
      <c r="A41" s="116" t="s">
        <v>194</v>
      </c>
      <c r="B41" t="s">
        <v>195</v>
      </c>
      <c r="C41" s="77"/>
      <c r="D41" t="s">
        <v>196</v>
      </c>
      <c r="E41" t="s">
        <v>674</v>
      </c>
      <c r="F41" s="70" t="s">
        <v>97</v>
      </c>
      <c r="G41" t="s">
        <v>97</v>
      </c>
      <c r="H41" t="s">
        <v>97</v>
      </c>
      <c r="I41" t="s">
        <v>97</v>
      </c>
      <c r="J41" t="s">
        <v>97</v>
      </c>
      <c r="K41" s="56">
        <v>45993.682743055557</v>
      </c>
      <c r="L41" t="s">
        <v>644</v>
      </c>
    </row>
    <row r="42" spans="1:12" x14ac:dyDescent="0.35">
      <c r="A42" s="117"/>
      <c r="B42" t="s">
        <v>197</v>
      </c>
      <c r="C42" s="77"/>
      <c r="D42" t="s">
        <v>198</v>
      </c>
      <c r="E42" t="s">
        <v>199</v>
      </c>
      <c r="F42" s="70"/>
      <c r="G42" t="s">
        <v>200</v>
      </c>
      <c r="K42" s="56">
        <v>45070.74658564815</v>
      </c>
      <c r="L42" t="s">
        <v>653</v>
      </c>
    </row>
    <row r="43" spans="1:12" x14ac:dyDescent="0.35">
      <c r="A43" s="117"/>
      <c r="B43" t="s">
        <v>201</v>
      </c>
      <c r="C43" s="77"/>
      <c r="D43" t="s">
        <v>202</v>
      </c>
      <c r="E43" t="s">
        <v>675</v>
      </c>
      <c r="F43" s="70" t="s">
        <v>97</v>
      </c>
      <c r="G43" t="s">
        <v>97</v>
      </c>
      <c r="H43" t="s">
        <v>97</v>
      </c>
      <c r="I43" t="s">
        <v>97</v>
      </c>
      <c r="J43" t="s">
        <v>97</v>
      </c>
      <c r="K43" s="56">
        <v>45070.746701388889</v>
      </c>
      <c r="L43" t="s">
        <v>653</v>
      </c>
    </row>
    <row r="44" spans="1:12" ht="43.5" x14ac:dyDescent="0.35">
      <c r="A44" s="117"/>
      <c r="B44" t="s">
        <v>203</v>
      </c>
      <c r="C44" s="77"/>
      <c r="D44" t="s">
        <v>204</v>
      </c>
      <c r="E44" t="s">
        <v>102</v>
      </c>
      <c r="F44" s="70"/>
      <c r="G44" s="78" t="s">
        <v>555</v>
      </c>
      <c r="K44" s="56">
        <v>45055.670636574076</v>
      </c>
      <c r="L44" t="s">
        <v>644</v>
      </c>
    </row>
    <row r="45" spans="1:12" x14ac:dyDescent="0.35">
      <c r="A45" s="116" t="s">
        <v>205</v>
      </c>
      <c r="B45" t="s">
        <v>206</v>
      </c>
      <c r="C45" s="77"/>
      <c r="D45" t="s">
        <v>207</v>
      </c>
      <c r="E45" t="s">
        <v>102</v>
      </c>
      <c r="F45" s="70"/>
      <c r="G45" t="s">
        <v>556</v>
      </c>
      <c r="K45" s="56">
        <v>45070.746759259258</v>
      </c>
      <c r="L45" t="s">
        <v>653</v>
      </c>
    </row>
    <row r="46" spans="1:12" x14ac:dyDescent="0.35">
      <c r="A46" s="117"/>
      <c r="B46" t="s">
        <v>208</v>
      </c>
      <c r="C46" s="77"/>
      <c r="D46" t="s">
        <v>209</v>
      </c>
      <c r="E46" t="s">
        <v>558</v>
      </c>
      <c r="F46" s="70"/>
      <c r="G46" t="s">
        <v>557</v>
      </c>
      <c r="K46" s="56">
        <v>45070.746863425928</v>
      </c>
      <c r="L46" t="s">
        <v>653</v>
      </c>
    </row>
    <row r="47" spans="1:12" x14ac:dyDescent="0.35">
      <c r="A47" s="117"/>
      <c r="B47" t="s">
        <v>210</v>
      </c>
      <c r="C47" s="77"/>
      <c r="D47" t="s">
        <v>211</v>
      </c>
      <c r="E47" t="s">
        <v>102</v>
      </c>
      <c r="F47" s="70"/>
      <c r="G47" t="s">
        <v>676</v>
      </c>
      <c r="K47" s="56">
        <v>45070.746921296297</v>
      </c>
      <c r="L47" t="s">
        <v>653</v>
      </c>
    </row>
    <row r="48" spans="1:12" x14ac:dyDescent="0.35">
      <c r="A48" s="117"/>
      <c r="B48" t="s">
        <v>212</v>
      </c>
      <c r="C48" s="77"/>
      <c r="D48" t="s">
        <v>213</v>
      </c>
      <c r="E48" t="s">
        <v>558</v>
      </c>
      <c r="F48" s="70"/>
      <c r="G48" t="s">
        <v>677</v>
      </c>
      <c r="K48" s="56">
        <v>46034.736377314817</v>
      </c>
      <c r="L48" t="s">
        <v>658</v>
      </c>
    </row>
    <row r="49" spans="1:12" x14ac:dyDescent="0.35">
      <c r="A49" s="117"/>
      <c r="B49" t="s">
        <v>214</v>
      </c>
      <c r="C49" s="77"/>
      <c r="D49" t="s">
        <v>215</v>
      </c>
      <c r="E49" t="s">
        <v>102</v>
      </c>
      <c r="F49" s="70"/>
      <c r="G49" t="s">
        <v>216</v>
      </c>
      <c r="K49" s="56">
        <v>45070.747037037036</v>
      </c>
      <c r="L49" t="s">
        <v>653</v>
      </c>
    </row>
    <row r="50" spans="1:12" x14ac:dyDescent="0.35">
      <c r="A50" s="117"/>
      <c r="B50" t="s">
        <v>217</v>
      </c>
      <c r="C50" s="77"/>
      <c r="D50" t="s">
        <v>218</v>
      </c>
      <c r="E50" t="s">
        <v>558</v>
      </c>
      <c r="F50" s="70"/>
      <c r="G50" t="s">
        <v>559</v>
      </c>
      <c r="K50" s="56">
        <v>46034.736458333333</v>
      </c>
      <c r="L50" t="s">
        <v>658</v>
      </c>
    </row>
    <row r="51" spans="1:12" x14ac:dyDescent="0.35">
      <c r="A51" s="117"/>
      <c r="B51" t="s">
        <v>219</v>
      </c>
      <c r="C51" s="77"/>
      <c r="D51" t="s">
        <v>220</v>
      </c>
      <c r="E51" t="s">
        <v>102</v>
      </c>
      <c r="F51" s="70"/>
      <c r="G51" t="s">
        <v>560</v>
      </c>
      <c r="K51" s="56">
        <v>45070.747141203705</v>
      </c>
      <c r="L51" t="s">
        <v>653</v>
      </c>
    </row>
    <row r="52" spans="1:12" x14ac:dyDescent="0.35">
      <c r="A52" s="117"/>
      <c r="B52" t="s">
        <v>221</v>
      </c>
      <c r="C52" s="77"/>
      <c r="D52" t="s">
        <v>222</v>
      </c>
      <c r="E52" t="s">
        <v>678</v>
      </c>
      <c r="F52" s="70"/>
      <c r="G52" t="s">
        <v>561</v>
      </c>
      <c r="K52" s="56">
        <v>45070.747175925928</v>
      </c>
      <c r="L52" t="s">
        <v>653</v>
      </c>
    </row>
    <row r="53" spans="1:12" x14ac:dyDescent="0.35">
      <c r="A53" s="116" t="s">
        <v>223</v>
      </c>
      <c r="B53" t="s">
        <v>224</v>
      </c>
      <c r="C53" s="77"/>
      <c r="D53" t="s">
        <v>225</v>
      </c>
      <c r="E53" t="s">
        <v>102</v>
      </c>
      <c r="F53" s="70"/>
      <c r="G53" t="s">
        <v>226</v>
      </c>
      <c r="K53" s="56">
        <v>45070.747245370374</v>
      </c>
      <c r="L53" t="s">
        <v>653</v>
      </c>
    </row>
    <row r="54" spans="1:12" x14ac:dyDescent="0.35">
      <c r="A54" s="117"/>
      <c r="B54" t="s">
        <v>227</v>
      </c>
      <c r="C54" s="77"/>
      <c r="D54" t="s">
        <v>228</v>
      </c>
      <c r="E54" t="s">
        <v>102</v>
      </c>
      <c r="F54" s="70"/>
      <c r="G54" t="s">
        <v>229</v>
      </c>
      <c r="K54" s="56">
        <v>45070.747291666667</v>
      </c>
      <c r="L54" t="s">
        <v>653</v>
      </c>
    </row>
    <row r="55" spans="1:12" x14ac:dyDescent="0.35">
      <c r="A55" s="117"/>
      <c r="B55" t="s">
        <v>230</v>
      </c>
      <c r="C55" s="77"/>
      <c r="D55" t="s">
        <v>231</v>
      </c>
      <c r="E55" t="s">
        <v>102</v>
      </c>
      <c r="F55" s="70"/>
      <c r="G55" t="s">
        <v>562</v>
      </c>
      <c r="K55" s="56">
        <v>45085.747384259259</v>
      </c>
      <c r="L55" t="s">
        <v>644</v>
      </c>
    </row>
    <row r="56" spans="1:12" x14ac:dyDescent="0.35">
      <c r="A56" s="117"/>
      <c r="B56" t="s">
        <v>232</v>
      </c>
      <c r="C56" s="77"/>
      <c r="D56" t="s">
        <v>233</v>
      </c>
      <c r="E56" t="s">
        <v>102</v>
      </c>
      <c r="F56" s="70"/>
      <c r="G56" t="s">
        <v>234</v>
      </c>
      <c r="K56" s="56">
        <v>45070.747361111113</v>
      </c>
      <c r="L56" t="s">
        <v>653</v>
      </c>
    </row>
    <row r="57" spans="1:12" x14ac:dyDescent="0.35">
      <c r="A57" s="117"/>
      <c r="B57" t="s">
        <v>235</v>
      </c>
      <c r="C57" s="77"/>
      <c r="D57" t="s">
        <v>236</v>
      </c>
      <c r="E57" t="s">
        <v>102</v>
      </c>
      <c r="F57" s="70"/>
      <c r="G57" t="s">
        <v>237</v>
      </c>
      <c r="K57" s="56">
        <v>45070.747384259259</v>
      </c>
      <c r="L57" t="s">
        <v>653</v>
      </c>
    </row>
    <row r="58" spans="1:12" x14ac:dyDescent="0.35">
      <c r="A58" s="117"/>
      <c r="B58" t="s">
        <v>238</v>
      </c>
      <c r="C58" s="77"/>
      <c r="D58" t="s">
        <v>239</v>
      </c>
      <c r="E58" t="s">
        <v>679</v>
      </c>
      <c r="F58" s="70"/>
      <c r="G58" t="s">
        <v>680</v>
      </c>
      <c r="K58" s="56">
        <v>45070.747442129628</v>
      </c>
      <c r="L58" t="s">
        <v>653</v>
      </c>
    </row>
    <row r="59" spans="1:12" x14ac:dyDescent="0.35">
      <c r="A59" s="117"/>
      <c r="B59" t="s">
        <v>240</v>
      </c>
      <c r="C59" s="77"/>
      <c r="D59" t="s">
        <v>241</v>
      </c>
      <c r="E59" t="s">
        <v>563</v>
      </c>
      <c r="F59" s="70"/>
      <c r="G59" t="s">
        <v>564</v>
      </c>
      <c r="K59" s="56">
        <v>45070.747557870367</v>
      </c>
      <c r="L59" t="s">
        <v>653</v>
      </c>
    </row>
    <row r="60" spans="1:12" x14ac:dyDescent="0.35">
      <c r="A60" s="117"/>
      <c r="B60" t="s">
        <v>242</v>
      </c>
      <c r="C60" s="77"/>
      <c r="D60" t="s">
        <v>243</v>
      </c>
      <c r="E60" t="s">
        <v>102</v>
      </c>
      <c r="F60" s="70"/>
      <c r="G60" t="s">
        <v>244</v>
      </c>
      <c r="K60" s="56">
        <v>45070.747615740744</v>
      </c>
      <c r="L60" t="s">
        <v>653</v>
      </c>
    </row>
    <row r="61" spans="1:12" x14ac:dyDescent="0.35">
      <c r="A61" s="117"/>
      <c r="B61" t="s">
        <v>245</v>
      </c>
      <c r="C61" s="77"/>
      <c r="D61" t="s">
        <v>246</v>
      </c>
      <c r="E61" t="s">
        <v>102</v>
      </c>
      <c r="F61" s="70"/>
      <c r="G61" t="s">
        <v>247</v>
      </c>
      <c r="K61" s="56">
        <v>45070.747673611113</v>
      </c>
      <c r="L61" t="s">
        <v>653</v>
      </c>
    </row>
    <row r="62" spans="1:12" x14ac:dyDescent="0.35">
      <c r="A62" s="117"/>
      <c r="B62" t="s">
        <v>248</v>
      </c>
      <c r="C62" s="77"/>
      <c r="D62" t="s">
        <v>249</v>
      </c>
      <c r="E62" t="s">
        <v>681</v>
      </c>
      <c r="F62" s="71" t="s">
        <v>147</v>
      </c>
      <c r="H62" t="s">
        <v>682</v>
      </c>
      <c r="I62" t="s">
        <v>683</v>
      </c>
      <c r="J62" t="s">
        <v>684</v>
      </c>
      <c r="K62" s="56">
        <v>45070.747789351852</v>
      </c>
      <c r="L62" t="s">
        <v>653</v>
      </c>
    </row>
    <row r="63" spans="1:12" x14ac:dyDescent="0.35">
      <c r="A63" s="117"/>
      <c r="B63" t="s">
        <v>250</v>
      </c>
      <c r="C63" s="77"/>
      <c r="D63" t="s">
        <v>251</v>
      </c>
      <c r="E63" t="s">
        <v>102</v>
      </c>
      <c r="F63" s="70"/>
      <c r="G63" t="s">
        <v>252</v>
      </c>
      <c r="K63" s="56">
        <v>45070.747997685183</v>
      </c>
      <c r="L63" t="s">
        <v>653</v>
      </c>
    </row>
    <row r="64" spans="1:12" x14ac:dyDescent="0.35">
      <c r="A64" s="117"/>
      <c r="B64" t="s">
        <v>253</v>
      </c>
      <c r="C64" s="77"/>
      <c r="D64" t="s">
        <v>254</v>
      </c>
      <c r="E64" t="s">
        <v>681</v>
      </c>
      <c r="F64" s="71" t="s">
        <v>147</v>
      </c>
      <c r="H64" t="s">
        <v>685</v>
      </c>
      <c r="I64" t="s">
        <v>565</v>
      </c>
      <c r="J64" t="s">
        <v>566</v>
      </c>
      <c r="K64" s="56">
        <v>45070.748032407406</v>
      </c>
      <c r="L64" t="s">
        <v>653</v>
      </c>
    </row>
    <row r="65" spans="1:12" x14ac:dyDescent="0.35">
      <c r="A65" s="117"/>
      <c r="B65" t="s">
        <v>255</v>
      </c>
      <c r="C65" s="77"/>
      <c r="D65" t="s">
        <v>256</v>
      </c>
      <c r="E65" t="s">
        <v>102</v>
      </c>
      <c r="F65" s="70"/>
      <c r="G65" t="s">
        <v>257</v>
      </c>
      <c r="K65" s="56">
        <v>45070.748136574075</v>
      </c>
      <c r="L65" t="s">
        <v>653</v>
      </c>
    </row>
    <row r="66" spans="1:12" x14ac:dyDescent="0.35">
      <c r="A66" s="117"/>
      <c r="B66" t="s">
        <v>258</v>
      </c>
      <c r="C66" s="77"/>
      <c r="D66" t="s">
        <v>259</v>
      </c>
      <c r="E66" t="s">
        <v>102</v>
      </c>
      <c r="F66" s="70"/>
      <c r="G66" t="s">
        <v>686</v>
      </c>
      <c r="K66" s="56">
        <v>45085.743310185186</v>
      </c>
      <c r="L66" t="s">
        <v>644</v>
      </c>
    </row>
    <row r="67" spans="1:12" x14ac:dyDescent="0.35">
      <c r="A67" s="117"/>
      <c r="B67" t="s">
        <v>260</v>
      </c>
      <c r="C67" s="77"/>
      <c r="D67" t="s">
        <v>261</v>
      </c>
      <c r="E67" t="s">
        <v>102</v>
      </c>
      <c r="F67" s="70"/>
      <c r="G67" t="s">
        <v>567</v>
      </c>
      <c r="K67" s="56">
        <v>45055.672291666669</v>
      </c>
      <c r="L67" t="s">
        <v>644</v>
      </c>
    </row>
    <row r="68" spans="1:12" x14ac:dyDescent="0.35">
      <c r="A68" s="117"/>
      <c r="B68" t="s">
        <v>262</v>
      </c>
      <c r="C68" s="77"/>
      <c r="D68" t="s">
        <v>263</v>
      </c>
      <c r="E68" t="s">
        <v>568</v>
      </c>
      <c r="F68" s="70"/>
      <c r="G68" t="s">
        <v>569</v>
      </c>
      <c r="K68" s="56">
        <v>45055.672395833331</v>
      </c>
      <c r="L68" t="s">
        <v>644</v>
      </c>
    </row>
    <row r="69" spans="1:12" x14ac:dyDescent="0.35">
      <c r="A69" s="117"/>
      <c r="B69" t="s">
        <v>264</v>
      </c>
      <c r="C69" s="77"/>
      <c r="D69" t="s">
        <v>265</v>
      </c>
      <c r="E69" t="s">
        <v>102</v>
      </c>
      <c r="F69" s="70"/>
      <c r="G69" t="s">
        <v>570</v>
      </c>
      <c r="K69" s="56">
        <v>45055.672430555554</v>
      </c>
      <c r="L69" t="s">
        <v>644</v>
      </c>
    </row>
    <row r="70" spans="1:12" x14ac:dyDescent="0.35">
      <c r="A70" s="117"/>
      <c r="B70" t="s">
        <v>266</v>
      </c>
      <c r="C70" s="77"/>
      <c r="D70" t="s">
        <v>267</v>
      </c>
      <c r="E70" t="s">
        <v>568</v>
      </c>
      <c r="F70" s="70"/>
      <c r="G70" t="s">
        <v>571</v>
      </c>
      <c r="K70" s="56">
        <v>45055.672465277778</v>
      </c>
      <c r="L70" t="s">
        <v>644</v>
      </c>
    </row>
    <row r="71" spans="1:12" x14ac:dyDescent="0.35">
      <c r="A71" s="117"/>
      <c r="B71" t="s">
        <v>268</v>
      </c>
      <c r="C71" s="77"/>
      <c r="D71" t="s">
        <v>269</v>
      </c>
      <c r="E71" t="s">
        <v>572</v>
      </c>
      <c r="F71" s="70"/>
      <c r="G71" t="s">
        <v>573</v>
      </c>
      <c r="K71" s="56">
        <v>45055.672546296293</v>
      </c>
      <c r="L71" t="s">
        <v>644</v>
      </c>
    </row>
    <row r="72" spans="1:12" x14ac:dyDescent="0.35">
      <c r="A72" s="116" t="s">
        <v>270</v>
      </c>
      <c r="B72" t="s">
        <v>271</v>
      </c>
      <c r="C72" s="77"/>
      <c r="D72" t="s">
        <v>272</v>
      </c>
      <c r="E72" t="s">
        <v>102</v>
      </c>
      <c r="F72" s="70"/>
      <c r="G72" t="s">
        <v>273</v>
      </c>
      <c r="K72" s="56">
        <v>45055.672719907408</v>
      </c>
      <c r="L72" t="s">
        <v>644</v>
      </c>
    </row>
    <row r="73" spans="1:12" x14ac:dyDescent="0.35">
      <c r="A73" s="117"/>
      <c r="B73" t="s">
        <v>274</v>
      </c>
      <c r="C73" s="77"/>
      <c r="D73" t="s">
        <v>275</v>
      </c>
      <c r="E73" t="s">
        <v>102</v>
      </c>
      <c r="F73" s="70"/>
      <c r="G73" t="s">
        <v>276</v>
      </c>
      <c r="K73" s="56">
        <v>45055.672789351855</v>
      </c>
      <c r="L73" t="s">
        <v>644</v>
      </c>
    </row>
    <row r="74" spans="1:12" ht="58" x14ac:dyDescent="0.35">
      <c r="A74" s="116" t="s">
        <v>277</v>
      </c>
      <c r="B74" t="s">
        <v>278</v>
      </c>
      <c r="C74" s="77"/>
      <c r="D74" t="s">
        <v>279</v>
      </c>
      <c r="E74" t="s">
        <v>107</v>
      </c>
      <c r="F74" s="72" t="s">
        <v>152</v>
      </c>
      <c r="H74" s="78" t="s">
        <v>687</v>
      </c>
      <c r="I74" s="78" t="s">
        <v>688</v>
      </c>
      <c r="J74" s="78" t="s">
        <v>689</v>
      </c>
      <c r="K74" s="56">
        <v>45524.850486111114</v>
      </c>
      <c r="L74" t="s">
        <v>644</v>
      </c>
    </row>
    <row r="75" spans="1:12" x14ac:dyDescent="0.35">
      <c r="A75" s="117"/>
      <c r="B75" t="s">
        <v>280</v>
      </c>
      <c r="C75" s="77"/>
      <c r="D75" t="s">
        <v>281</v>
      </c>
      <c r="E75" t="s">
        <v>572</v>
      </c>
      <c r="F75" s="70"/>
      <c r="G75" t="s">
        <v>574</v>
      </c>
      <c r="K75" s="56">
        <v>45070.748344907406</v>
      </c>
      <c r="L75" t="s">
        <v>653</v>
      </c>
    </row>
    <row r="76" spans="1:12" x14ac:dyDescent="0.35">
      <c r="A76" s="117"/>
      <c r="B76" t="s">
        <v>282</v>
      </c>
      <c r="C76" s="77"/>
      <c r="D76" t="s">
        <v>283</v>
      </c>
      <c r="E76" t="s">
        <v>572</v>
      </c>
      <c r="F76" s="70"/>
      <c r="G76" t="s">
        <v>575</v>
      </c>
      <c r="K76" s="56">
        <v>45070.748368055552</v>
      </c>
      <c r="L76" t="s">
        <v>653</v>
      </c>
    </row>
    <row r="77" spans="1:12" x14ac:dyDescent="0.35">
      <c r="A77" s="117"/>
      <c r="B77" t="s">
        <v>284</v>
      </c>
      <c r="C77" s="77"/>
      <c r="D77" t="s">
        <v>285</v>
      </c>
      <c r="E77" t="s">
        <v>107</v>
      </c>
      <c r="F77" s="72" t="s">
        <v>152</v>
      </c>
      <c r="H77" t="s">
        <v>690</v>
      </c>
      <c r="I77" t="s">
        <v>286</v>
      </c>
      <c r="J77" t="s">
        <v>691</v>
      </c>
      <c r="K77" s="56">
        <v>45070.748449074075</v>
      </c>
      <c r="L77" t="s">
        <v>653</v>
      </c>
    </row>
    <row r="78" spans="1:12" x14ac:dyDescent="0.35">
      <c r="A78" s="117"/>
      <c r="B78" t="s">
        <v>287</v>
      </c>
      <c r="C78" s="77"/>
      <c r="D78" t="s">
        <v>288</v>
      </c>
      <c r="E78" t="s">
        <v>576</v>
      </c>
      <c r="F78" s="70"/>
      <c r="G78" t="s">
        <v>577</v>
      </c>
      <c r="K78" s="56">
        <v>45055.673182870371</v>
      </c>
      <c r="L78" t="s">
        <v>644</v>
      </c>
    </row>
    <row r="79" spans="1:12" x14ac:dyDescent="0.35">
      <c r="A79" s="117"/>
      <c r="B79" t="s">
        <v>289</v>
      </c>
      <c r="C79" s="77"/>
      <c r="D79" t="s">
        <v>290</v>
      </c>
      <c r="E79" t="s">
        <v>102</v>
      </c>
      <c r="F79" s="70"/>
      <c r="G79" t="s">
        <v>578</v>
      </c>
      <c r="K79" s="56">
        <v>45055.673263888886</v>
      </c>
      <c r="L79" t="s">
        <v>644</v>
      </c>
    </row>
    <row r="80" spans="1:12" x14ac:dyDescent="0.35">
      <c r="A80" s="117"/>
      <c r="B80" t="s">
        <v>291</v>
      </c>
      <c r="C80" s="77"/>
      <c r="D80" t="s">
        <v>292</v>
      </c>
      <c r="E80" t="s">
        <v>102</v>
      </c>
      <c r="F80" s="70"/>
      <c r="G80" t="s">
        <v>692</v>
      </c>
      <c r="K80" s="56">
        <v>45070.748495370368</v>
      </c>
      <c r="L80" t="s">
        <v>653</v>
      </c>
    </row>
    <row r="81" spans="1:12" x14ac:dyDescent="0.35">
      <c r="A81" s="117"/>
      <c r="B81" t="s">
        <v>293</v>
      </c>
      <c r="C81" s="77"/>
      <c r="D81" t="s">
        <v>294</v>
      </c>
      <c r="E81" t="s">
        <v>102</v>
      </c>
      <c r="F81" s="70"/>
      <c r="G81" t="s">
        <v>295</v>
      </c>
      <c r="K81" s="56">
        <v>46034.736030092594</v>
      </c>
      <c r="L81" t="s">
        <v>658</v>
      </c>
    </row>
    <row r="82" spans="1:12" x14ac:dyDescent="0.35">
      <c r="A82" s="117"/>
      <c r="B82" t="s">
        <v>296</v>
      </c>
      <c r="C82" s="77"/>
      <c r="D82" t="s">
        <v>297</v>
      </c>
      <c r="E82" t="s">
        <v>107</v>
      </c>
      <c r="F82" s="72" t="s">
        <v>152</v>
      </c>
      <c r="H82" t="s">
        <v>298</v>
      </c>
      <c r="I82" t="s">
        <v>299</v>
      </c>
      <c r="J82" t="s">
        <v>300</v>
      </c>
      <c r="K82" s="56">
        <v>45070.748703703706</v>
      </c>
      <c r="L82" t="s">
        <v>653</v>
      </c>
    </row>
    <row r="83" spans="1:12" x14ac:dyDescent="0.35">
      <c r="A83" s="117"/>
      <c r="B83" t="s">
        <v>301</v>
      </c>
      <c r="C83" s="77"/>
      <c r="D83" t="s">
        <v>302</v>
      </c>
      <c r="E83" t="s">
        <v>102</v>
      </c>
      <c r="F83" s="70"/>
      <c r="G83" t="s">
        <v>579</v>
      </c>
      <c r="K83" s="56">
        <v>46034.736145833333</v>
      </c>
      <c r="L83" t="s">
        <v>658</v>
      </c>
    </row>
    <row r="84" spans="1:12" x14ac:dyDescent="0.35">
      <c r="A84" s="116" t="s">
        <v>303</v>
      </c>
      <c r="B84" t="s">
        <v>304</v>
      </c>
      <c r="C84" s="77"/>
      <c r="D84" t="s">
        <v>305</v>
      </c>
      <c r="E84" t="s">
        <v>306</v>
      </c>
      <c r="F84" s="70" t="s">
        <v>97</v>
      </c>
      <c r="G84" t="s">
        <v>97</v>
      </c>
      <c r="H84" t="s">
        <v>97</v>
      </c>
      <c r="I84" t="s">
        <v>97</v>
      </c>
      <c r="J84" t="s">
        <v>97</v>
      </c>
      <c r="K84" s="56">
        <v>45085.747974537036</v>
      </c>
      <c r="L84" t="s">
        <v>644</v>
      </c>
    </row>
    <row r="85" spans="1:12" x14ac:dyDescent="0.35">
      <c r="A85" s="117"/>
      <c r="B85" t="s">
        <v>307</v>
      </c>
      <c r="C85" s="77"/>
      <c r="D85" t="s">
        <v>308</v>
      </c>
      <c r="E85" t="s">
        <v>102</v>
      </c>
      <c r="F85" s="70"/>
      <c r="G85" t="s">
        <v>309</v>
      </c>
      <c r="K85" s="56">
        <v>45055.674027777779</v>
      </c>
      <c r="L85" t="s">
        <v>644</v>
      </c>
    </row>
    <row r="86" spans="1:12" x14ac:dyDescent="0.35">
      <c r="A86" s="117"/>
      <c r="B86" t="s">
        <v>310</v>
      </c>
      <c r="C86" s="77"/>
      <c r="D86" t="s">
        <v>311</v>
      </c>
      <c r="E86" t="s">
        <v>102</v>
      </c>
      <c r="F86" s="70"/>
      <c r="G86" t="s">
        <v>312</v>
      </c>
      <c r="K86" s="56">
        <v>45055.674120370371</v>
      </c>
      <c r="L86" t="s">
        <v>644</v>
      </c>
    </row>
    <row r="87" spans="1:12" x14ac:dyDescent="0.35">
      <c r="A87" s="117"/>
      <c r="B87" t="s">
        <v>313</v>
      </c>
      <c r="C87" s="77"/>
      <c r="D87" t="s">
        <v>314</v>
      </c>
      <c r="E87" t="s">
        <v>102</v>
      </c>
      <c r="F87" s="70"/>
      <c r="G87" t="s">
        <v>315</v>
      </c>
      <c r="K87" s="56">
        <v>45070.749074074076</v>
      </c>
      <c r="L87" t="s">
        <v>653</v>
      </c>
    </row>
    <row r="88" spans="1:12" x14ac:dyDescent="0.35">
      <c r="A88" s="117"/>
      <c r="B88" t="s">
        <v>316</v>
      </c>
      <c r="C88" s="77"/>
      <c r="D88" t="s">
        <v>317</v>
      </c>
      <c r="E88" t="s">
        <v>102</v>
      </c>
      <c r="F88" s="70"/>
      <c r="G88" t="s">
        <v>318</v>
      </c>
      <c r="K88" s="56">
        <v>45070.749085648145</v>
      </c>
      <c r="L88" t="s">
        <v>653</v>
      </c>
    </row>
    <row r="89" spans="1:12" x14ac:dyDescent="0.35">
      <c r="A89" s="117"/>
      <c r="B89" t="s">
        <v>319</v>
      </c>
      <c r="C89" s="77"/>
      <c r="D89" t="s">
        <v>320</v>
      </c>
      <c r="E89" t="s">
        <v>102</v>
      </c>
      <c r="F89" s="70"/>
      <c r="G89" t="s">
        <v>321</v>
      </c>
      <c r="K89" s="56">
        <v>45070.749097222222</v>
      </c>
      <c r="L89" t="s">
        <v>653</v>
      </c>
    </row>
    <row r="90" spans="1:12" x14ac:dyDescent="0.35">
      <c r="A90" s="117"/>
      <c r="B90" t="s">
        <v>322</v>
      </c>
      <c r="C90" s="77"/>
      <c r="D90" t="s">
        <v>323</v>
      </c>
      <c r="E90" t="s">
        <v>580</v>
      </c>
      <c r="F90" s="70"/>
      <c r="G90" t="s">
        <v>581</v>
      </c>
      <c r="K90" s="56">
        <v>46034.736666666664</v>
      </c>
      <c r="L90" t="s">
        <v>658</v>
      </c>
    </row>
    <row r="91" spans="1:12" x14ac:dyDescent="0.35">
      <c r="A91" s="117"/>
      <c r="B91" t="s">
        <v>324</v>
      </c>
      <c r="C91" s="77"/>
      <c r="D91" t="s">
        <v>325</v>
      </c>
      <c r="E91" t="s">
        <v>693</v>
      </c>
      <c r="F91" s="72" t="s">
        <v>152</v>
      </c>
      <c r="H91" t="s">
        <v>694</v>
      </c>
      <c r="I91" t="s">
        <v>695</v>
      </c>
      <c r="J91" t="s">
        <v>696</v>
      </c>
      <c r="K91" s="56">
        <v>45524.864664351851</v>
      </c>
      <c r="L91" t="s">
        <v>644</v>
      </c>
    </row>
    <row r="92" spans="1:12" x14ac:dyDescent="0.35">
      <c r="A92" s="117"/>
      <c r="B92" t="s">
        <v>326</v>
      </c>
      <c r="C92" s="77"/>
      <c r="D92" t="s">
        <v>327</v>
      </c>
      <c r="E92" t="s">
        <v>697</v>
      </c>
      <c r="F92" s="70"/>
      <c r="G92" t="s">
        <v>698</v>
      </c>
      <c r="K92" s="56">
        <v>46034.736724537041</v>
      </c>
      <c r="L92" t="s">
        <v>658</v>
      </c>
    </row>
    <row r="93" spans="1:12" x14ac:dyDescent="0.35">
      <c r="A93" s="117"/>
      <c r="B93" t="s">
        <v>328</v>
      </c>
      <c r="C93" s="77"/>
      <c r="D93" t="s">
        <v>329</v>
      </c>
      <c r="E93" t="s">
        <v>699</v>
      </c>
      <c r="F93" s="70" t="s">
        <v>97</v>
      </c>
      <c r="G93" t="s">
        <v>97</v>
      </c>
      <c r="H93" t="s">
        <v>97</v>
      </c>
      <c r="I93" t="s">
        <v>97</v>
      </c>
      <c r="J93" t="s">
        <v>97</v>
      </c>
      <c r="K93" s="56">
        <v>45070.749965277777</v>
      </c>
      <c r="L93" t="s">
        <v>653</v>
      </c>
    </row>
    <row r="94" spans="1:12" x14ac:dyDescent="0.35">
      <c r="A94" s="117"/>
      <c r="B94" t="s">
        <v>330</v>
      </c>
      <c r="C94" s="77"/>
      <c r="D94" t="s">
        <v>331</v>
      </c>
      <c r="E94" t="s">
        <v>700</v>
      </c>
      <c r="F94" s="70"/>
      <c r="G94" t="s">
        <v>332</v>
      </c>
      <c r="K94" s="56">
        <v>45055.674756944441</v>
      </c>
      <c r="L94" t="s">
        <v>644</v>
      </c>
    </row>
    <row r="95" spans="1:12" x14ac:dyDescent="0.35">
      <c r="A95" s="117"/>
      <c r="B95" t="s">
        <v>333</v>
      </c>
      <c r="C95" s="77"/>
      <c r="D95" t="s">
        <v>334</v>
      </c>
      <c r="E95" t="s">
        <v>102</v>
      </c>
      <c r="F95" s="70"/>
      <c r="G95" t="s">
        <v>582</v>
      </c>
      <c r="K95" s="56">
        <v>45055.674907407411</v>
      </c>
      <c r="L95" t="s">
        <v>644</v>
      </c>
    </row>
    <row r="96" spans="1:12" x14ac:dyDescent="0.35">
      <c r="A96" s="117"/>
      <c r="B96" t="s">
        <v>335</v>
      </c>
      <c r="C96" s="77"/>
      <c r="D96" t="s">
        <v>336</v>
      </c>
      <c r="E96" t="s">
        <v>102</v>
      </c>
      <c r="F96" s="70"/>
      <c r="G96" t="s">
        <v>583</v>
      </c>
      <c r="K96" s="56">
        <v>45070.750023148146</v>
      </c>
      <c r="L96" t="s">
        <v>653</v>
      </c>
    </row>
    <row r="97" spans="1:12" x14ac:dyDescent="0.35">
      <c r="A97" s="116" t="s">
        <v>337</v>
      </c>
      <c r="B97" t="s">
        <v>338</v>
      </c>
      <c r="C97" s="77"/>
      <c r="D97" t="s">
        <v>339</v>
      </c>
      <c r="E97" t="s">
        <v>102</v>
      </c>
      <c r="F97" s="70"/>
      <c r="G97" t="s">
        <v>340</v>
      </c>
      <c r="K97" s="56">
        <v>45055.675208333334</v>
      </c>
      <c r="L97" t="s">
        <v>644</v>
      </c>
    </row>
    <row r="98" spans="1:12" x14ac:dyDescent="0.35">
      <c r="A98" s="117"/>
      <c r="B98" t="s">
        <v>341</v>
      </c>
      <c r="C98" s="77"/>
      <c r="D98" t="s">
        <v>342</v>
      </c>
      <c r="E98" t="s">
        <v>102</v>
      </c>
      <c r="F98" s="70"/>
      <c r="G98" t="s">
        <v>343</v>
      </c>
      <c r="K98" s="56">
        <v>45085.748101851852</v>
      </c>
      <c r="L98" t="s">
        <v>644</v>
      </c>
    </row>
    <row r="99" spans="1:12" x14ac:dyDescent="0.35">
      <c r="A99" s="116" t="s">
        <v>344</v>
      </c>
      <c r="B99" t="s">
        <v>345</v>
      </c>
      <c r="C99" s="77"/>
      <c r="D99" t="s">
        <v>346</v>
      </c>
      <c r="E99" t="s">
        <v>584</v>
      </c>
      <c r="F99" s="70"/>
      <c r="G99" t="s">
        <v>585</v>
      </c>
      <c r="K99" s="56">
        <v>45524.857581018521</v>
      </c>
      <c r="L99" t="s">
        <v>644</v>
      </c>
    </row>
    <row r="100" spans="1:12" ht="43.5" x14ac:dyDescent="0.35">
      <c r="A100" s="117"/>
      <c r="B100" t="s">
        <v>348</v>
      </c>
      <c r="C100" s="77"/>
      <c r="D100" t="s">
        <v>349</v>
      </c>
      <c r="E100" t="s">
        <v>586</v>
      </c>
      <c r="F100" s="70"/>
      <c r="G100" s="78" t="s">
        <v>587</v>
      </c>
      <c r="K100" s="56">
        <v>45085.748668981483</v>
      </c>
      <c r="L100" t="s">
        <v>644</v>
      </c>
    </row>
    <row r="101" spans="1:12" x14ac:dyDescent="0.35">
      <c r="A101" s="117"/>
      <c r="B101" t="s">
        <v>350</v>
      </c>
      <c r="C101" s="77"/>
      <c r="D101" t="s">
        <v>351</v>
      </c>
      <c r="E101" t="s">
        <v>102</v>
      </c>
      <c r="F101" s="70"/>
      <c r="G101" t="s">
        <v>352</v>
      </c>
      <c r="K101" s="56">
        <v>45085.748784722222</v>
      </c>
      <c r="L101" t="s">
        <v>644</v>
      </c>
    </row>
    <row r="102" spans="1:12" x14ac:dyDescent="0.35">
      <c r="A102" s="116" t="s">
        <v>353</v>
      </c>
      <c r="B102" t="s">
        <v>354</v>
      </c>
      <c r="C102" s="77"/>
      <c r="D102" t="s">
        <v>355</v>
      </c>
      <c r="E102" t="s">
        <v>588</v>
      </c>
      <c r="F102" s="70"/>
      <c r="G102" t="s">
        <v>589</v>
      </c>
      <c r="K102" s="56">
        <v>45085.749155092592</v>
      </c>
      <c r="L102" t="s">
        <v>644</v>
      </c>
    </row>
    <row r="103" spans="1:12" x14ac:dyDescent="0.35">
      <c r="A103" s="117"/>
      <c r="B103" t="s">
        <v>356</v>
      </c>
      <c r="C103" s="77"/>
      <c r="D103" t="s">
        <v>357</v>
      </c>
      <c r="E103" t="s">
        <v>588</v>
      </c>
      <c r="F103" s="70"/>
      <c r="G103" t="s">
        <v>590</v>
      </c>
      <c r="K103" s="56">
        <v>45085.749351851853</v>
      </c>
      <c r="L103" t="s">
        <v>644</v>
      </c>
    </row>
    <row r="104" spans="1:12" x14ac:dyDescent="0.35">
      <c r="A104" s="117"/>
      <c r="B104" t="s">
        <v>358</v>
      </c>
      <c r="C104" s="77"/>
      <c r="D104" t="s">
        <v>359</v>
      </c>
      <c r="E104" t="s">
        <v>701</v>
      </c>
      <c r="F104" s="70"/>
      <c r="G104" t="s">
        <v>591</v>
      </c>
      <c r="K104" s="56">
        <v>45085.789837962962</v>
      </c>
      <c r="L104" t="s">
        <v>653</v>
      </c>
    </row>
    <row r="105" spans="1:12" x14ac:dyDescent="0.35">
      <c r="A105" s="117"/>
      <c r="B105" t="s">
        <v>360</v>
      </c>
      <c r="C105" s="77"/>
      <c r="D105" t="s">
        <v>361</v>
      </c>
      <c r="E105" t="s">
        <v>702</v>
      </c>
      <c r="F105" s="73" t="s">
        <v>158</v>
      </c>
      <c r="H105" t="s">
        <v>703</v>
      </c>
      <c r="I105" t="s">
        <v>704</v>
      </c>
      <c r="J105" t="s">
        <v>705</v>
      </c>
      <c r="K105" s="56">
        <v>45085.791655092595</v>
      </c>
      <c r="L105" t="s">
        <v>653</v>
      </c>
    </row>
    <row r="106" spans="1:12" x14ac:dyDescent="0.35">
      <c r="A106" s="117"/>
      <c r="B106" t="s">
        <v>362</v>
      </c>
      <c r="C106" s="77"/>
      <c r="D106" t="s">
        <v>363</v>
      </c>
      <c r="E106" t="s">
        <v>592</v>
      </c>
      <c r="F106" s="73" t="s">
        <v>158</v>
      </c>
      <c r="H106" t="s">
        <v>593</v>
      </c>
      <c r="I106" t="s">
        <v>364</v>
      </c>
      <c r="J106" t="s">
        <v>594</v>
      </c>
      <c r="K106" s="56">
        <v>45085.792731481481</v>
      </c>
      <c r="L106" t="s">
        <v>653</v>
      </c>
    </row>
    <row r="107" spans="1:12" x14ac:dyDescent="0.35">
      <c r="A107" s="117"/>
      <c r="B107" t="s">
        <v>365</v>
      </c>
      <c r="C107" s="77"/>
      <c r="D107" t="s">
        <v>366</v>
      </c>
      <c r="E107" t="s">
        <v>595</v>
      </c>
      <c r="F107" s="72" t="s">
        <v>152</v>
      </c>
      <c r="H107" t="s">
        <v>596</v>
      </c>
      <c r="I107" t="s">
        <v>367</v>
      </c>
      <c r="J107" t="s">
        <v>368</v>
      </c>
      <c r="K107" s="56">
        <v>45085.792847222219</v>
      </c>
      <c r="L107" t="s">
        <v>653</v>
      </c>
    </row>
    <row r="108" spans="1:12" x14ac:dyDescent="0.35">
      <c r="A108" s="117"/>
      <c r="B108" t="s">
        <v>369</v>
      </c>
      <c r="C108" s="77"/>
      <c r="D108" t="s">
        <v>370</v>
      </c>
      <c r="E108" t="s">
        <v>102</v>
      </c>
      <c r="F108" s="70"/>
      <c r="G108" t="s">
        <v>371</v>
      </c>
      <c r="K108" s="56">
        <v>45085.790173611109</v>
      </c>
      <c r="L108" t="s">
        <v>653</v>
      </c>
    </row>
    <row r="109" spans="1:12" ht="58" x14ac:dyDescent="0.35">
      <c r="A109" s="116" t="s">
        <v>372</v>
      </c>
      <c r="B109" t="s">
        <v>373</v>
      </c>
      <c r="C109" s="77"/>
      <c r="D109" t="s">
        <v>374</v>
      </c>
      <c r="E109" t="s">
        <v>597</v>
      </c>
      <c r="F109" s="73" t="s">
        <v>158</v>
      </c>
      <c r="H109" s="78" t="s">
        <v>598</v>
      </c>
      <c r="I109" s="78" t="s">
        <v>599</v>
      </c>
      <c r="J109" s="78" t="s">
        <v>600</v>
      </c>
      <c r="K109" s="56">
        <v>45524.857928240737</v>
      </c>
      <c r="L109" t="s">
        <v>644</v>
      </c>
    </row>
    <row r="110" spans="1:12" x14ac:dyDescent="0.35">
      <c r="A110" s="117"/>
      <c r="B110" t="s">
        <v>375</v>
      </c>
      <c r="C110" s="77"/>
      <c r="D110" t="s">
        <v>376</v>
      </c>
      <c r="E110" t="s">
        <v>107</v>
      </c>
      <c r="F110" s="70"/>
      <c r="G110" t="s">
        <v>377</v>
      </c>
      <c r="K110" s="56">
        <v>45085.76462962963</v>
      </c>
      <c r="L110" t="s">
        <v>644</v>
      </c>
    </row>
    <row r="111" spans="1:12" x14ac:dyDescent="0.35">
      <c r="A111" s="117"/>
      <c r="B111" t="s">
        <v>378</v>
      </c>
      <c r="C111" s="77"/>
      <c r="D111" t="s">
        <v>379</v>
      </c>
      <c r="E111" t="s">
        <v>102</v>
      </c>
      <c r="F111" s="70"/>
      <c r="G111" t="s">
        <v>601</v>
      </c>
      <c r="K111" s="56">
        <v>45085.764143518521</v>
      </c>
      <c r="L111" t="s">
        <v>644</v>
      </c>
    </row>
    <row r="112" spans="1:12" x14ac:dyDescent="0.35">
      <c r="A112" s="117"/>
      <c r="B112" t="s">
        <v>380</v>
      </c>
      <c r="C112" s="77"/>
      <c r="D112" t="s">
        <v>381</v>
      </c>
      <c r="E112" t="s">
        <v>602</v>
      </c>
      <c r="F112" s="70"/>
      <c r="G112" t="s">
        <v>603</v>
      </c>
      <c r="K112" s="56">
        <v>45085.764282407406</v>
      </c>
      <c r="L112" t="s">
        <v>644</v>
      </c>
    </row>
    <row r="113" spans="1:12" x14ac:dyDescent="0.35">
      <c r="A113" s="117"/>
      <c r="B113" t="s">
        <v>382</v>
      </c>
      <c r="C113" s="77"/>
      <c r="D113" t="s">
        <v>383</v>
      </c>
      <c r="E113" t="s">
        <v>604</v>
      </c>
      <c r="F113" s="73" t="s">
        <v>158</v>
      </c>
      <c r="H113" t="s">
        <v>605</v>
      </c>
      <c r="I113" t="s">
        <v>384</v>
      </c>
      <c r="J113" t="s">
        <v>385</v>
      </c>
      <c r="K113" s="56">
        <v>45085.764490740738</v>
      </c>
      <c r="L113" t="s">
        <v>644</v>
      </c>
    </row>
    <row r="114" spans="1:12" x14ac:dyDescent="0.35">
      <c r="A114" s="116" t="s">
        <v>386</v>
      </c>
      <c r="B114" t="s">
        <v>387</v>
      </c>
      <c r="C114" s="77"/>
      <c r="D114" t="s">
        <v>388</v>
      </c>
      <c r="E114" t="s">
        <v>102</v>
      </c>
      <c r="F114" s="70"/>
      <c r="G114" t="s">
        <v>389</v>
      </c>
      <c r="K114" s="56">
        <v>45085.764710648145</v>
      </c>
      <c r="L114" t="s">
        <v>644</v>
      </c>
    </row>
    <row r="115" spans="1:12" x14ac:dyDescent="0.35">
      <c r="A115" s="117"/>
      <c r="B115" t="s">
        <v>390</v>
      </c>
      <c r="C115" s="77"/>
      <c r="D115" t="s">
        <v>391</v>
      </c>
      <c r="E115" t="s">
        <v>102</v>
      </c>
      <c r="F115" s="70"/>
      <c r="G115" t="s">
        <v>606</v>
      </c>
      <c r="K115" s="56">
        <v>45085.764814814815</v>
      </c>
      <c r="L115" t="s">
        <v>644</v>
      </c>
    </row>
    <row r="116" spans="1:12" x14ac:dyDescent="0.35">
      <c r="A116" s="117"/>
      <c r="B116" t="s">
        <v>392</v>
      </c>
      <c r="C116" s="77"/>
      <c r="D116" t="s">
        <v>393</v>
      </c>
      <c r="E116" t="s">
        <v>102</v>
      </c>
      <c r="F116" s="70"/>
      <c r="G116" t="s">
        <v>706</v>
      </c>
      <c r="K116" s="56">
        <v>45085.764976851853</v>
      </c>
      <c r="L116" t="s">
        <v>644</v>
      </c>
    </row>
    <row r="117" spans="1:12" x14ac:dyDescent="0.35">
      <c r="A117" s="117"/>
      <c r="B117" t="s">
        <v>394</v>
      </c>
      <c r="C117" s="77"/>
      <c r="D117" t="s">
        <v>395</v>
      </c>
      <c r="E117" t="s">
        <v>107</v>
      </c>
      <c r="F117" s="73" t="s">
        <v>158</v>
      </c>
      <c r="H117" t="s">
        <v>396</v>
      </c>
      <c r="I117" t="s">
        <v>397</v>
      </c>
      <c r="J117" t="s">
        <v>398</v>
      </c>
      <c r="K117" s="56">
        <v>45085.765104166669</v>
      </c>
      <c r="L117" t="s">
        <v>644</v>
      </c>
    </row>
    <row r="118" spans="1:12" x14ac:dyDescent="0.35">
      <c r="A118" s="117"/>
      <c r="B118" t="s">
        <v>399</v>
      </c>
      <c r="C118" s="77"/>
      <c r="D118" t="s">
        <v>400</v>
      </c>
      <c r="E118" t="s">
        <v>107</v>
      </c>
      <c r="F118" s="73" t="s">
        <v>158</v>
      </c>
      <c r="H118" t="s">
        <v>401</v>
      </c>
      <c r="I118" t="s">
        <v>402</v>
      </c>
      <c r="J118" t="s">
        <v>403</v>
      </c>
      <c r="K118" s="56">
        <v>45085.765289351853</v>
      </c>
      <c r="L118" t="s">
        <v>644</v>
      </c>
    </row>
    <row r="119" spans="1:12" x14ac:dyDescent="0.35">
      <c r="A119" s="117"/>
      <c r="B119" t="s">
        <v>404</v>
      </c>
      <c r="C119" s="77"/>
      <c r="D119" t="s">
        <v>405</v>
      </c>
      <c r="E119" t="s">
        <v>607</v>
      </c>
      <c r="F119" s="70"/>
      <c r="G119" t="s">
        <v>608</v>
      </c>
      <c r="K119" s="56">
        <v>45085.765428240738</v>
      </c>
      <c r="L119" t="s">
        <v>644</v>
      </c>
    </row>
    <row r="120" spans="1:12" x14ac:dyDescent="0.35">
      <c r="A120" s="116" t="s">
        <v>406</v>
      </c>
      <c r="B120" t="s">
        <v>407</v>
      </c>
      <c r="C120" s="77"/>
      <c r="D120" t="s">
        <v>408</v>
      </c>
      <c r="E120" t="s">
        <v>102</v>
      </c>
      <c r="F120" s="70"/>
      <c r="G120" t="s">
        <v>409</v>
      </c>
      <c r="K120" s="56">
        <v>45085.765636574077</v>
      </c>
      <c r="L120" t="s">
        <v>644</v>
      </c>
    </row>
    <row r="121" spans="1:12" x14ac:dyDescent="0.35">
      <c r="A121" s="117"/>
      <c r="B121" t="s">
        <v>410</v>
      </c>
      <c r="C121" s="77"/>
      <c r="D121" t="s">
        <v>411</v>
      </c>
      <c r="E121" t="s">
        <v>609</v>
      </c>
      <c r="F121" s="70"/>
      <c r="G121" t="s">
        <v>610</v>
      </c>
      <c r="K121" s="56">
        <v>45085.76734953704</v>
      </c>
      <c r="L121" t="s">
        <v>644</v>
      </c>
    </row>
    <row r="122" spans="1:12" x14ac:dyDescent="0.35">
      <c r="A122" s="117"/>
      <c r="B122" t="s">
        <v>412</v>
      </c>
      <c r="C122" s="77"/>
      <c r="D122" t="s">
        <v>413</v>
      </c>
      <c r="E122" t="s">
        <v>609</v>
      </c>
      <c r="F122" s="70"/>
      <c r="G122" t="s">
        <v>611</v>
      </c>
      <c r="K122" s="56">
        <v>45085.767546296294</v>
      </c>
      <c r="L122" t="s">
        <v>644</v>
      </c>
    </row>
    <row r="123" spans="1:12" x14ac:dyDescent="0.35">
      <c r="A123" s="117"/>
      <c r="B123" t="s">
        <v>414</v>
      </c>
      <c r="C123" s="77"/>
      <c r="D123" t="s">
        <v>415</v>
      </c>
      <c r="E123" t="s">
        <v>612</v>
      </c>
      <c r="F123" s="70"/>
      <c r="G123" t="s">
        <v>613</v>
      </c>
      <c r="K123" s="56">
        <v>45085.770451388889</v>
      </c>
      <c r="L123" t="s">
        <v>644</v>
      </c>
    </row>
    <row r="124" spans="1:12" x14ac:dyDescent="0.35">
      <c r="A124" s="117"/>
      <c r="B124" t="s">
        <v>416</v>
      </c>
      <c r="C124" s="77"/>
      <c r="D124" t="s">
        <v>417</v>
      </c>
      <c r="E124" t="s">
        <v>707</v>
      </c>
      <c r="F124" s="70" t="s">
        <v>97</v>
      </c>
      <c r="G124" t="s">
        <v>97</v>
      </c>
      <c r="H124" t="s">
        <v>97</v>
      </c>
      <c r="I124" t="s">
        <v>97</v>
      </c>
      <c r="J124" t="s">
        <v>97</v>
      </c>
      <c r="K124" s="56">
        <v>45085.767800925925</v>
      </c>
      <c r="L124" t="s">
        <v>644</v>
      </c>
    </row>
    <row r="125" spans="1:12" x14ac:dyDescent="0.35">
      <c r="A125" s="116" t="s">
        <v>418</v>
      </c>
      <c r="B125" t="s">
        <v>419</v>
      </c>
      <c r="C125" s="77"/>
      <c r="D125" t="s">
        <v>420</v>
      </c>
      <c r="E125" t="s">
        <v>102</v>
      </c>
      <c r="F125" s="70"/>
      <c r="G125" t="s">
        <v>421</v>
      </c>
      <c r="K125" s="56">
        <v>45085.902233796296</v>
      </c>
      <c r="L125" t="s">
        <v>644</v>
      </c>
    </row>
    <row r="126" spans="1:12" ht="58" x14ac:dyDescent="0.35">
      <c r="A126" s="117"/>
      <c r="B126" t="s">
        <v>422</v>
      </c>
      <c r="C126" s="77"/>
      <c r="D126" t="s">
        <v>423</v>
      </c>
      <c r="E126" t="s">
        <v>424</v>
      </c>
      <c r="F126" s="70"/>
      <c r="G126" s="78" t="s">
        <v>614</v>
      </c>
      <c r="K126" s="56">
        <v>45085.772048611114</v>
      </c>
      <c r="L126" t="s">
        <v>644</v>
      </c>
    </row>
    <row r="127" spans="1:12" ht="43.5" x14ac:dyDescent="0.35">
      <c r="A127" s="117"/>
      <c r="B127" t="s">
        <v>425</v>
      </c>
      <c r="C127" s="77"/>
      <c r="D127" t="s">
        <v>426</v>
      </c>
      <c r="E127" t="s">
        <v>427</v>
      </c>
      <c r="F127" s="70"/>
      <c r="G127" s="78" t="s">
        <v>708</v>
      </c>
      <c r="K127" s="56">
        <v>45085.793773148151</v>
      </c>
      <c r="L127" t="s">
        <v>653</v>
      </c>
    </row>
    <row r="128" spans="1:12" ht="43.5" x14ac:dyDescent="0.35">
      <c r="A128" s="117"/>
      <c r="B128" t="s">
        <v>428</v>
      </c>
      <c r="C128" s="77"/>
      <c r="D128" t="s">
        <v>429</v>
      </c>
      <c r="E128" t="s">
        <v>427</v>
      </c>
      <c r="F128" s="70"/>
      <c r="G128" s="78" t="s">
        <v>615</v>
      </c>
      <c r="K128" s="56">
        <v>45085.79383101852</v>
      </c>
      <c r="L128" t="s">
        <v>653</v>
      </c>
    </row>
    <row r="129" spans="1:12" ht="43.5" x14ac:dyDescent="0.35">
      <c r="A129" s="117"/>
      <c r="B129" t="s">
        <v>430</v>
      </c>
      <c r="C129" s="77"/>
      <c r="D129" t="s">
        <v>431</v>
      </c>
      <c r="E129" t="s">
        <v>427</v>
      </c>
      <c r="F129" s="70"/>
      <c r="G129" s="78" t="s">
        <v>616</v>
      </c>
      <c r="K129" s="56">
        <v>45085.793865740743</v>
      </c>
      <c r="L129" t="s">
        <v>653</v>
      </c>
    </row>
    <row r="130" spans="1:12" x14ac:dyDescent="0.35">
      <c r="A130" s="117"/>
      <c r="B130" t="s">
        <v>432</v>
      </c>
      <c r="C130" s="77"/>
      <c r="D130" t="s">
        <v>433</v>
      </c>
      <c r="E130" t="s">
        <v>709</v>
      </c>
      <c r="F130" s="71" t="s">
        <v>147</v>
      </c>
      <c r="H130" t="s">
        <v>710</v>
      </c>
      <c r="I130" t="s">
        <v>711</v>
      </c>
      <c r="J130" t="s">
        <v>712</v>
      </c>
      <c r="K130" s="56">
        <v>45085.793935185182</v>
      </c>
      <c r="L130" t="s">
        <v>653</v>
      </c>
    </row>
    <row r="131" spans="1:12" x14ac:dyDescent="0.35">
      <c r="A131" s="117"/>
      <c r="B131" t="s">
        <v>434</v>
      </c>
      <c r="C131" s="77"/>
      <c r="D131" t="s">
        <v>435</v>
      </c>
      <c r="E131" t="s">
        <v>102</v>
      </c>
      <c r="F131" s="70"/>
      <c r="G131" t="s">
        <v>436</v>
      </c>
      <c r="K131" s="56">
        <v>45085.794050925928</v>
      </c>
      <c r="L131" t="s">
        <v>653</v>
      </c>
    </row>
    <row r="132" spans="1:12" x14ac:dyDescent="0.35">
      <c r="A132" s="117"/>
      <c r="B132" t="s">
        <v>437</v>
      </c>
      <c r="C132" s="77"/>
      <c r="D132" t="s">
        <v>438</v>
      </c>
      <c r="E132" t="s">
        <v>102</v>
      </c>
      <c r="F132" s="70"/>
      <c r="G132" t="s">
        <v>439</v>
      </c>
      <c r="K132" s="56">
        <v>45085.794074074074</v>
      </c>
      <c r="L132" t="s">
        <v>653</v>
      </c>
    </row>
    <row r="133" spans="1:12" x14ac:dyDescent="0.35">
      <c r="A133" s="117"/>
      <c r="B133" t="s">
        <v>440</v>
      </c>
      <c r="C133" s="77"/>
      <c r="D133" t="s">
        <v>441</v>
      </c>
      <c r="E133" t="s">
        <v>102</v>
      </c>
      <c r="F133" s="70"/>
      <c r="G133" t="s">
        <v>442</v>
      </c>
      <c r="K133" s="56">
        <v>45085.79409722222</v>
      </c>
      <c r="L133" t="s">
        <v>653</v>
      </c>
    </row>
    <row r="134" spans="1:12" x14ac:dyDescent="0.35">
      <c r="A134" s="117"/>
      <c r="B134" t="s">
        <v>443</v>
      </c>
      <c r="C134" s="77"/>
      <c r="D134" t="s">
        <v>444</v>
      </c>
      <c r="E134" t="s">
        <v>102</v>
      </c>
      <c r="F134" s="70"/>
      <c r="G134" t="s">
        <v>445</v>
      </c>
      <c r="K134" s="56">
        <v>45085.79414351852</v>
      </c>
      <c r="L134" t="s">
        <v>653</v>
      </c>
    </row>
    <row r="135" spans="1:12" x14ac:dyDescent="0.35">
      <c r="A135" s="117"/>
      <c r="B135" t="s">
        <v>446</v>
      </c>
      <c r="C135" s="77"/>
      <c r="D135" t="s">
        <v>447</v>
      </c>
      <c r="E135" t="s">
        <v>448</v>
      </c>
      <c r="F135" s="70"/>
      <c r="G135" t="s">
        <v>449</v>
      </c>
      <c r="K135" s="56">
        <v>45085.794270833336</v>
      </c>
      <c r="L135" t="s">
        <v>653</v>
      </c>
    </row>
    <row r="136" spans="1:12" x14ac:dyDescent="0.35">
      <c r="A136" s="116" t="s">
        <v>450</v>
      </c>
      <c r="B136" t="s">
        <v>451</v>
      </c>
      <c r="C136" s="77"/>
      <c r="D136" t="s">
        <v>452</v>
      </c>
      <c r="E136" t="s">
        <v>453</v>
      </c>
      <c r="F136" s="70"/>
      <c r="G136" t="s">
        <v>454</v>
      </c>
      <c r="K136" s="56">
        <v>45085.758310185185</v>
      </c>
      <c r="L136" t="s">
        <v>644</v>
      </c>
    </row>
    <row r="137" spans="1:12" x14ac:dyDescent="0.35">
      <c r="A137" s="117"/>
      <c r="B137" t="s">
        <v>455</v>
      </c>
      <c r="C137" s="77"/>
      <c r="D137" t="s">
        <v>456</v>
      </c>
      <c r="E137" t="s">
        <v>457</v>
      </c>
      <c r="F137" s="70"/>
      <c r="G137" t="s">
        <v>458</v>
      </c>
      <c r="K137" s="56">
        <v>45085.758645833332</v>
      </c>
      <c r="L137" t="s">
        <v>644</v>
      </c>
    </row>
    <row r="138" spans="1:12" x14ac:dyDescent="0.35">
      <c r="A138" s="117"/>
      <c r="B138" t="s">
        <v>459</v>
      </c>
      <c r="C138" s="77"/>
      <c r="D138" t="s">
        <v>460</v>
      </c>
      <c r="E138" t="s">
        <v>102</v>
      </c>
      <c r="F138" s="70"/>
      <c r="G138" t="s">
        <v>617</v>
      </c>
      <c r="K138" s="56">
        <v>45085.754525462966</v>
      </c>
      <c r="L138" t="s">
        <v>644</v>
      </c>
    </row>
    <row r="139" spans="1:12" x14ac:dyDescent="0.35">
      <c r="A139" s="117"/>
      <c r="B139" t="s">
        <v>461</v>
      </c>
      <c r="C139" s="77"/>
      <c r="D139" t="s">
        <v>462</v>
      </c>
      <c r="E139" t="s">
        <v>102</v>
      </c>
      <c r="F139" s="70"/>
      <c r="G139" t="s">
        <v>713</v>
      </c>
      <c r="K139" s="56">
        <v>45085.754606481481</v>
      </c>
      <c r="L139" t="s">
        <v>644</v>
      </c>
    </row>
    <row r="140" spans="1:12" x14ac:dyDescent="0.35">
      <c r="A140" s="117"/>
      <c r="B140" t="s">
        <v>463</v>
      </c>
      <c r="C140" s="77"/>
      <c r="D140" t="s">
        <v>464</v>
      </c>
      <c r="E140" t="s">
        <v>102</v>
      </c>
      <c r="F140" s="70"/>
      <c r="G140" t="s">
        <v>714</v>
      </c>
      <c r="K140" s="56">
        <v>45085.756863425922</v>
      </c>
      <c r="L140" t="s">
        <v>644</v>
      </c>
    </row>
    <row r="141" spans="1:12" x14ac:dyDescent="0.35">
      <c r="A141" s="117"/>
      <c r="B141" t="s">
        <v>465</v>
      </c>
      <c r="C141" s="77"/>
      <c r="D141" t="s">
        <v>466</v>
      </c>
      <c r="E141" t="s">
        <v>102</v>
      </c>
      <c r="F141" s="70"/>
      <c r="G141" t="s">
        <v>618</v>
      </c>
      <c r="K141" s="56">
        <v>45085.755104166667</v>
      </c>
      <c r="L141" t="s">
        <v>644</v>
      </c>
    </row>
    <row r="142" spans="1:12" x14ac:dyDescent="0.35">
      <c r="A142" s="117"/>
      <c r="B142" t="s">
        <v>467</v>
      </c>
      <c r="C142" s="77"/>
      <c r="D142" t="s">
        <v>468</v>
      </c>
      <c r="E142" t="s">
        <v>619</v>
      </c>
      <c r="F142" s="70"/>
      <c r="G142" t="s">
        <v>620</v>
      </c>
      <c r="K142" s="56">
        <v>45085.755231481482</v>
      </c>
      <c r="L142" t="s">
        <v>644</v>
      </c>
    </row>
    <row r="143" spans="1:12" x14ac:dyDescent="0.35">
      <c r="A143" s="117"/>
      <c r="B143" t="s">
        <v>469</v>
      </c>
      <c r="C143" s="77"/>
      <c r="D143" t="s">
        <v>470</v>
      </c>
      <c r="E143" t="s">
        <v>102</v>
      </c>
      <c r="F143" s="70"/>
      <c r="G143" t="s">
        <v>471</v>
      </c>
      <c r="K143" s="56">
        <v>45085.755578703705</v>
      </c>
      <c r="L143" t="s">
        <v>644</v>
      </c>
    </row>
    <row r="144" spans="1:12" x14ac:dyDescent="0.35">
      <c r="A144" s="117"/>
      <c r="B144" t="s">
        <v>472</v>
      </c>
      <c r="C144" s="77"/>
      <c r="D144" t="s">
        <v>473</v>
      </c>
      <c r="E144" t="s">
        <v>102</v>
      </c>
      <c r="F144" s="70"/>
      <c r="G144" t="s">
        <v>715</v>
      </c>
      <c r="K144" s="56">
        <v>45085.755648148152</v>
      </c>
      <c r="L144" t="s">
        <v>644</v>
      </c>
    </row>
    <row r="145" spans="1:12" x14ac:dyDescent="0.35">
      <c r="A145" s="117"/>
      <c r="B145" t="s">
        <v>474</v>
      </c>
      <c r="C145" s="77"/>
      <c r="D145" t="s">
        <v>475</v>
      </c>
      <c r="E145" t="s">
        <v>619</v>
      </c>
      <c r="F145" s="70"/>
      <c r="G145" t="s">
        <v>476</v>
      </c>
      <c r="K145" s="56">
        <v>45085.755902777775</v>
      </c>
      <c r="L145" t="s">
        <v>644</v>
      </c>
    </row>
    <row r="146" spans="1:12" x14ac:dyDescent="0.35">
      <c r="A146" s="117"/>
      <c r="B146" t="s">
        <v>477</v>
      </c>
      <c r="C146" s="77"/>
      <c r="D146" t="s">
        <v>478</v>
      </c>
      <c r="E146" t="s">
        <v>102</v>
      </c>
      <c r="F146" s="70"/>
      <c r="G146" t="s">
        <v>621</v>
      </c>
      <c r="K146" s="56">
        <v>45085.756006944444</v>
      </c>
      <c r="L146" t="s">
        <v>644</v>
      </c>
    </row>
    <row r="147" spans="1:12" x14ac:dyDescent="0.35">
      <c r="A147" s="116" t="s">
        <v>479</v>
      </c>
      <c r="B147" t="s">
        <v>480</v>
      </c>
      <c r="C147" s="77"/>
      <c r="D147" t="s">
        <v>481</v>
      </c>
      <c r="E147" t="s">
        <v>102</v>
      </c>
      <c r="F147" s="70"/>
      <c r="G147" t="s">
        <v>622</v>
      </c>
      <c r="K147" s="56">
        <v>45085.761828703704</v>
      </c>
      <c r="L147" t="s">
        <v>644</v>
      </c>
    </row>
    <row r="148" spans="1:12" ht="72.5" x14ac:dyDescent="0.35">
      <c r="A148" s="117"/>
      <c r="B148" t="s">
        <v>482</v>
      </c>
      <c r="C148" s="77"/>
      <c r="D148" t="s">
        <v>483</v>
      </c>
      <c r="E148" t="s">
        <v>716</v>
      </c>
      <c r="F148" s="70"/>
      <c r="G148" s="78" t="s">
        <v>623</v>
      </c>
      <c r="K148" s="56">
        <v>45085.762395833335</v>
      </c>
      <c r="L148" t="s">
        <v>644</v>
      </c>
    </row>
    <row r="149" spans="1:12" x14ac:dyDescent="0.35">
      <c r="A149" s="117"/>
      <c r="B149" t="s">
        <v>484</v>
      </c>
      <c r="C149" s="77"/>
      <c r="D149" t="s">
        <v>485</v>
      </c>
      <c r="E149" t="s">
        <v>624</v>
      </c>
      <c r="F149" s="70" t="s">
        <v>97</v>
      </c>
      <c r="G149" t="s">
        <v>97</v>
      </c>
      <c r="H149" t="s">
        <v>97</v>
      </c>
      <c r="I149" t="s">
        <v>97</v>
      </c>
      <c r="J149" t="s">
        <v>97</v>
      </c>
      <c r="K149" s="56">
        <v>45085.762546296297</v>
      </c>
      <c r="L149" t="s">
        <v>644</v>
      </c>
    </row>
    <row r="150" spans="1:12" ht="58" x14ac:dyDescent="0.35">
      <c r="A150" s="117"/>
      <c r="B150" t="s">
        <v>486</v>
      </c>
      <c r="C150" s="77"/>
      <c r="D150" t="s">
        <v>487</v>
      </c>
      <c r="E150" t="s">
        <v>625</v>
      </c>
      <c r="F150" s="70"/>
      <c r="G150" s="78" t="s">
        <v>626</v>
      </c>
      <c r="K150" s="56">
        <v>45085.762962962966</v>
      </c>
      <c r="L150" t="s">
        <v>644</v>
      </c>
    </row>
    <row r="151" spans="1:12" x14ac:dyDescent="0.35">
      <c r="A151" s="117"/>
      <c r="B151" t="s">
        <v>488</v>
      </c>
      <c r="C151" s="77"/>
      <c r="D151" t="s">
        <v>489</v>
      </c>
      <c r="E151" t="s">
        <v>102</v>
      </c>
      <c r="F151" s="70"/>
      <c r="G151" t="s">
        <v>717</v>
      </c>
      <c r="K151" s="56">
        <v>45085.763078703705</v>
      </c>
      <c r="L151" t="s">
        <v>644</v>
      </c>
    </row>
    <row r="152" spans="1:12" x14ac:dyDescent="0.35">
      <c r="A152" s="117"/>
      <c r="B152" t="s">
        <v>490</v>
      </c>
      <c r="C152" s="77"/>
      <c r="D152" t="s">
        <v>491</v>
      </c>
      <c r="E152" t="s">
        <v>627</v>
      </c>
      <c r="F152" s="73" t="s">
        <v>158</v>
      </c>
      <c r="H152" t="s">
        <v>628</v>
      </c>
      <c r="I152" t="s">
        <v>347</v>
      </c>
      <c r="J152" t="s">
        <v>629</v>
      </c>
      <c r="K152" s="56">
        <v>45085.763599537036</v>
      </c>
      <c r="L152" t="s">
        <v>644</v>
      </c>
    </row>
    <row r="153" spans="1:12" x14ac:dyDescent="0.35">
      <c r="A153" s="117"/>
      <c r="B153" t="s">
        <v>492</v>
      </c>
      <c r="C153" s="77"/>
      <c r="D153" t="s">
        <v>493</v>
      </c>
      <c r="E153" t="s">
        <v>102</v>
      </c>
      <c r="F153" s="70"/>
      <c r="G153" t="s">
        <v>718</v>
      </c>
      <c r="K153" s="56">
        <v>45085.763715277775</v>
      </c>
      <c r="L153" t="s">
        <v>644</v>
      </c>
    </row>
    <row r="154" spans="1:12" x14ac:dyDescent="0.35">
      <c r="A154" s="117"/>
      <c r="B154" t="s">
        <v>494</v>
      </c>
      <c r="C154" s="77"/>
      <c r="D154" t="s">
        <v>495</v>
      </c>
      <c r="E154" t="s">
        <v>719</v>
      </c>
      <c r="F154" s="70"/>
      <c r="G154" t="s">
        <v>630</v>
      </c>
      <c r="K154" s="56">
        <v>45085.76390046296</v>
      </c>
      <c r="L154" t="s">
        <v>644</v>
      </c>
    </row>
    <row r="155" spans="1:12" x14ac:dyDescent="0.35">
      <c r="A155" s="116" t="s">
        <v>496</v>
      </c>
      <c r="B155" t="s">
        <v>497</v>
      </c>
      <c r="C155" s="77"/>
      <c r="D155" t="s">
        <v>498</v>
      </c>
      <c r="E155" t="s">
        <v>102</v>
      </c>
      <c r="F155" s="70"/>
      <c r="G155" t="s">
        <v>499</v>
      </c>
      <c r="K155" s="56">
        <v>45085.760428240741</v>
      </c>
      <c r="L155" t="s">
        <v>644</v>
      </c>
    </row>
    <row r="156" spans="1:12" x14ac:dyDescent="0.35">
      <c r="A156" s="117"/>
      <c r="B156" t="s">
        <v>500</v>
      </c>
      <c r="C156" s="77"/>
      <c r="D156" t="s">
        <v>501</v>
      </c>
      <c r="E156" t="s">
        <v>102</v>
      </c>
      <c r="F156" s="70"/>
      <c r="G156" t="s">
        <v>631</v>
      </c>
      <c r="K156" s="56">
        <v>45085.760462962964</v>
      </c>
      <c r="L156" t="s">
        <v>644</v>
      </c>
    </row>
    <row r="157" spans="1:12" x14ac:dyDescent="0.35">
      <c r="A157" s="117"/>
      <c r="B157" t="s">
        <v>502</v>
      </c>
      <c r="C157" s="77"/>
      <c r="D157" t="s">
        <v>503</v>
      </c>
      <c r="E157" t="s">
        <v>720</v>
      </c>
      <c r="F157" s="70"/>
      <c r="G157" t="s">
        <v>721</v>
      </c>
      <c r="K157" s="56">
        <v>46034.735462962963</v>
      </c>
      <c r="L157" t="s">
        <v>658</v>
      </c>
    </row>
    <row r="158" spans="1:12" x14ac:dyDescent="0.35">
      <c r="A158" s="117"/>
      <c r="B158" t="s">
        <v>504</v>
      </c>
      <c r="C158" s="77"/>
      <c r="D158" t="s">
        <v>505</v>
      </c>
      <c r="E158" t="s">
        <v>568</v>
      </c>
      <c r="F158" s="70"/>
      <c r="G158" t="s">
        <v>632</v>
      </c>
      <c r="K158" s="56">
        <v>45085.760671296295</v>
      </c>
      <c r="L158" t="s">
        <v>644</v>
      </c>
    </row>
    <row r="159" spans="1:12" x14ac:dyDescent="0.35">
      <c r="A159" s="117"/>
      <c r="B159" t="s">
        <v>506</v>
      </c>
      <c r="C159" s="77"/>
      <c r="D159" t="s">
        <v>507</v>
      </c>
      <c r="E159" t="s">
        <v>568</v>
      </c>
      <c r="F159" s="70"/>
      <c r="G159" t="s">
        <v>633</v>
      </c>
      <c r="K159" s="56">
        <v>45085.760810185187</v>
      </c>
      <c r="L159" t="s">
        <v>644</v>
      </c>
    </row>
    <row r="160" spans="1:12" x14ac:dyDescent="0.35">
      <c r="A160" s="117"/>
      <c r="B160" t="s">
        <v>508</v>
      </c>
      <c r="C160" s="77"/>
      <c r="D160" t="s">
        <v>509</v>
      </c>
      <c r="E160" t="s">
        <v>107</v>
      </c>
      <c r="F160" s="70"/>
      <c r="G160" t="s">
        <v>722</v>
      </c>
      <c r="K160" s="56">
        <v>45085.760891203703</v>
      </c>
      <c r="L160" t="s">
        <v>644</v>
      </c>
    </row>
    <row r="161" spans="1:12" x14ac:dyDescent="0.35">
      <c r="A161" s="117"/>
      <c r="B161" t="s">
        <v>510</v>
      </c>
      <c r="C161" s="77"/>
      <c r="D161" t="s">
        <v>511</v>
      </c>
      <c r="E161" t="s">
        <v>102</v>
      </c>
      <c r="F161" s="70"/>
      <c r="G161" t="s">
        <v>512</v>
      </c>
      <c r="K161" s="56">
        <v>45085.760960648149</v>
      </c>
      <c r="L161" t="s">
        <v>644</v>
      </c>
    </row>
    <row r="162" spans="1:12" x14ac:dyDescent="0.35">
      <c r="A162" s="116" t="s">
        <v>513</v>
      </c>
      <c r="B162" t="s">
        <v>514</v>
      </c>
      <c r="C162" s="77"/>
      <c r="D162" t="s">
        <v>515</v>
      </c>
      <c r="E162" t="s">
        <v>634</v>
      </c>
      <c r="F162" s="70"/>
      <c r="G162" t="s">
        <v>635</v>
      </c>
      <c r="K162" s="56">
        <v>45085.760266203702</v>
      </c>
      <c r="L162" t="s">
        <v>644</v>
      </c>
    </row>
    <row r="163" spans="1:12" x14ac:dyDescent="0.35">
      <c r="A163" s="117"/>
      <c r="B163" t="s">
        <v>516</v>
      </c>
      <c r="C163" s="77"/>
      <c r="D163" t="s">
        <v>517</v>
      </c>
      <c r="E163" t="s">
        <v>636</v>
      </c>
      <c r="F163" s="70"/>
      <c r="G163" t="s">
        <v>637</v>
      </c>
      <c r="K163" s="56">
        <v>45085.760335648149</v>
      </c>
      <c r="L163" t="s">
        <v>644</v>
      </c>
    </row>
    <row r="164" spans="1:12" x14ac:dyDescent="0.35">
      <c r="A164" s="116" t="s">
        <v>518</v>
      </c>
      <c r="B164" t="s">
        <v>519</v>
      </c>
      <c r="C164" s="77"/>
      <c r="D164" t="s">
        <v>520</v>
      </c>
      <c r="E164" t="s">
        <v>568</v>
      </c>
      <c r="F164" s="70"/>
      <c r="G164" t="s">
        <v>638</v>
      </c>
      <c r="K164" s="56">
        <v>45085.759664351855</v>
      </c>
      <c r="L164" t="s">
        <v>644</v>
      </c>
    </row>
    <row r="165" spans="1:12" x14ac:dyDescent="0.35">
      <c r="A165" s="117"/>
      <c r="B165" t="s">
        <v>521</v>
      </c>
      <c r="C165" s="77"/>
      <c r="D165" t="s">
        <v>522</v>
      </c>
      <c r="E165" t="s">
        <v>568</v>
      </c>
      <c r="F165" s="70"/>
      <c r="G165" t="s">
        <v>639</v>
      </c>
      <c r="K165" s="56">
        <v>45085.759768518517</v>
      </c>
      <c r="L165" t="s">
        <v>644</v>
      </c>
    </row>
    <row r="166" spans="1:12" x14ac:dyDescent="0.35">
      <c r="A166" s="117"/>
      <c r="B166" t="s">
        <v>523</v>
      </c>
      <c r="C166" s="77"/>
      <c r="D166" t="s">
        <v>524</v>
      </c>
      <c r="E166" t="s">
        <v>640</v>
      </c>
      <c r="F166" s="70"/>
      <c r="G166" t="s">
        <v>641</v>
      </c>
      <c r="K166" s="56">
        <v>45085.760023148148</v>
      </c>
      <c r="L166" t="s">
        <v>644</v>
      </c>
    </row>
    <row r="167" spans="1:12" x14ac:dyDescent="0.35">
      <c r="A167" s="117"/>
      <c r="B167" t="s">
        <v>525</v>
      </c>
      <c r="C167" s="77"/>
      <c r="D167" t="s">
        <v>526</v>
      </c>
      <c r="F167" s="70"/>
    </row>
    <row r="168" spans="1:12" x14ac:dyDescent="0.35">
      <c r="A168" s="117"/>
      <c r="B168" t="s">
        <v>527</v>
      </c>
      <c r="C168" s="77"/>
      <c r="D168" t="s">
        <v>528</v>
      </c>
      <c r="E168" t="s">
        <v>102</v>
      </c>
      <c r="F168" s="70"/>
      <c r="G168" t="s">
        <v>642</v>
      </c>
      <c r="K168" s="56">
        <v>45085.76017361111</v>
      </c>
      <c r="L168" t="s">
        <v>644</v>
      </c>
    </row>
    <row r="169" spans="1:12" x14ac:dyDescent="0.35">
      <c r="A169" s="116" t="s">
        <v>529</v>
      </c>
      <c r="B169" t="s">
        <v>530</v>
      </c>
      <c r="C169" s="77"/>
      <c r="D169" t="s">
        <v>531</v>
      </c>
      <c r="E169" t="s">
        <v>102</v>
      </c>
      <c r="F169" s="70"/>
      <c r="G169" t="s">
        <v>532</v>
      </c>
      <c r="K169" s="56">
        <v>45085.758842592593</v>
      </c>
      <c r="L169" t="s">
        <v>644</v>
      </c>
    </row>
    <row r="170" spans="1:12" x14ac:dyDescent="0.35">
      <c r="A170" s="117"/>
      <c r="B170" t="s">
        <v>533</v>
      </c>
      <c r="C170" s="77"/>
      <c r="D170" t="s">
        <v>534</v>
      </c>
      <c r="E170" t="s">
        <v>535</v>
      </c>
      <c r="F170" s="72" t="s">
        <v>152</v>
      </c>
      <c r="H170" t="s">
        <v>536</v>
      </c>
      <c r="I170" t="s">
        <v>537</v>
      </c>
      <c r="J170" t="s">
        <v>538</v>
      </c>
      <c r="K170" s="56">
        <v>45085.759409722225</v>
      </c>
      <c r="L170" t="s">
        <v>644</v>
      </c>
    </row>
    <row r="171" spans="1:12" x14ac:dyDescent="0.35">
      <c r="A171" s="117"/>
      <c r="B171" t="s">
        <v>539</v>
      </c>
      <c r="C171" s="77"/>
      <c r="D171" t="s">
        <v>540</v>
      </c>
      <c r="E171" t="s">
        <v>723</v>
      </c>
      <c r="F171" s="71" t="s">
        <v>147</v>
      </c>
      <c r="H171" t="s">
        <v>724</v>
      </c>
      <c r="I171" t="s">
        <v>725</v>
      </c>
      <c r="J171" t="s">
        <v>726</v>
      </c>
      <c r="K171" s="56">
        <v>45085.759236111109</v>
      </c>
      <c r="L171" t="s">
        <v>644</v>
      </c>
    </row>
  </sheetData>
  <mergeCells count="21">
    <mergeCell ref="A169:A171"/>
    <mergeCell ref="A136:A146"/>
    <mergeCell ref="A147:A154"/>
    <mergeCell ref="A155:A161"/>
    <mergeCell ref="A162:A163"/>
    <mergeCell ref="A164:A168"/>
    <mergeCell ref="A102:A108"/>
    <mergeCell ref="A109:A113"/>
    <mergeCell ref="A114:A119"/>
    <mergeCell ref="A120:A124"/>
    <mergeCell ref="A125:A135"/>
    <mergeCell ref="A97:A98"/>
    <mergeCell ref="A99:A101"/>
    <mergeCell ref="A2:A19"/>
    <mergeCell ref="A20:A39"/>
    <mergeCell ref="A41:A44"/>
    <mergeCell ref="A45:A52"/>
    <mergeCell ref="A53:A71"/>
    <mergeCell ref="A72:A73"/>
    <mergeCell ref="A74:A83"/>
    <mergeCell ref="A84:A9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4E9D9-BA8E-4251-BA6A-27700CAD2140}">
  <dimension ref="A1"/>
  <sheetViews>
    <sheetView workbookViewId="0"/>
  </sheetViews>
  <sheetFormatPr defaultRowHeight="14.5" x14ac:dyDescent="0.3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FBBC8-7416-4A69-A3CC-E03075C952A1}">
  <dimension ref="A1"/>
  <sheetViews>
    <sheetView workbookViewId="0"/>
  </sheetViews>
  <sheetFormatPr defaultRowHeight="14.5" x14ac:dyDescent="0.3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1A53071F422B040BA30C37F3761913B" ma:contentTypeVersion="19" ma:contentTypeDescription="Create a new document." ma:contentTypeScope="" ma:versionID="9a922b6fb7a8de85e3f37793d4c3e2ce">
  <xsd:schema xmlns:xsd="http://www.w3.org/2001/XMLSchema" xmlns:xs="http://www.w3.org/2001/XMLSchema" xmlns:p="http://schemas.microsoft.com/office/2006/metadata/properties" xmlns:ns2="6fcdb25e-053e-4911-8b1a-4975089e92d0" xmlns:ns3="988bb82b-27fe-4791-8607-d4255d291e7f" targetNamespace="http://schemas.microsoft.com/office/2006/metadata/properties" ma:root="true" ma:fieldsID="90722a086878f80452e2415613ef5c39" ns2:_="" ns3:_="">
    <xsd:import namespace="6fcdb25e-053e-4911-8b1a-4975089e92d0"/>
    <xsd:import namespace="988bb82b-27fe-4791-8607-d4255d291e7f"/>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Location" minOccurs="0"/>
                <xsd:element ref="ns3:Permissions" minOccurs="0"/>
                <xsd:element ref="ns3:MediaServiceAutoKeyPoints" minOccurs="0"/>
                <xsd:element ref="ns3:MediaServiceKeyPoints" minOccurs="0"/>
                <xsd:element ref="ns3:MediaLengthInSeconds" minOccurs="0"/>
                <xsd:element ref="ns3:lcf76f155ced4ddcb4097134ff3c332f" minOccurs="0"/>
                <xsd:element ref="ns2:TaxCatchAll"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fcdb25e-053e-4911-8b1a-4975089e92d0"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1b934cac-4a1e-4265-b562-75a07483f57d}" ma:internalName="TaxCatchAll" ma:showField="CatchAllData" ma:web="6fcdb25e-053e-4911-8b1a-4975089e92d0">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988bb82b-27fe-4791-8607-d4255d291e7f"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Permissions" ma:index="18" nillable="true" ma:displayName="Permissions" ma:format="Dropdown" ma:list="UserInfo" ma:SharePointGroup="0" ma:internalName="Permissions"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a609c2a7-6df6-49a8-9821-900e14f4e240"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6fcdb25e-053e-4911-8b1a-4975089e92d0" xsi:nil="true"/>
    <lcf76f155ced4ddcb4097134ff3c332f xmlns="988bb82b-27fe-4791-8607-d4255d291e7f">
      <Terms xmlns="http://schemas.microsoft.com/office/infopath/2007/PartnerControls"/>
    </lcf76f155ced4ddcb4097134ff3c332f>
    <Permissions xmlns="988bb82b-27fe-4791-8607-d4255d291e7f">
      <UserInfo>
        <DisplayName/>
        <AccountId xsi:nil="true"/>
        <AccountType/>
      </UserInfo>
    </Permissions>
  </documentManagement>
</p:properties>
</file>

<file path=customXml/itemProps1.xml><?xml version="1.0" encoding="utf-8"?>
<ds:datastoreItem xmlns:ds="http://schemas.openxmlformats.org/officeDocument/2006/customXml" ds:itemID="{215B909D-140C-4A96-B8F9-6FCE0D96FBB2}">
  <ds:schemaRefs>
    <ds:schemaRef ds:uri="http://schemas.microsoft.com/sharepoint/v3/contenttype/forms"/>
  </ds:schemaRefs>
</ds:datastoreItem>
</file>

<file path=customXml/itemProps2.xml><?xml version="1.0" encoding="utf-8"?>
<ds:datastoreItem xmlns:ds="http://schemas.openxmlformats.org/officeDocument/2006/customXml" ds:itemID="{BB7C0858-5498-4159-A104-1F82E558FC0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fcdb25e-053e-4911-8b1a-4975089e92d0"/>
    <ds:schemaRef ds:uri="988bb82b-27fe-4791-8607-d4255d291e7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0BC3265-CBE2-4F32-9A1B-F07525B372E9}">
  <ds:schemaRefs>
    <ds:schemaRef ds:uri="988bb82b-27fe-4791-8607-d4255d291e7f"/>
    <ds:schemaRef ds:uri="http://purl.org/dc/dcmitype/"/>
    <ds:schemaRef ds:uri="http://purl.org/dc/terms/"/>
    <ds:schemaRef ds:uri="http://schemas.microsoft.com/office/2006/metadata/properties"/>
    <ds:schemaRef ds:uri="http://schemas.microsoft.com/office/infopath/2007/PartnerControls"/>
    <ds:schemaRef ds:uri="http://schemas.openxmlformats.org/package/2006/metadata/core-properties"/>
    <ds:schemaRef ds:uri="http://www.w3.org/XML/1998/namespace"/>
    <ds:schemaRef ds:uri="http://schemas.microsoft.com/office/2006/documentManagement/types"/>
    <ds:schemaRef ds:uri="6fcdb25e-053e-4911-8b1a-4975089e92d0"/>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Priorities</vt:lpstr>
      <vt:lpstr>Export</vt:lpstr>
      <vt:lpstr>Scanning</vt:lpstr>
      <vt:lpstr>Training and Phishing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Bill Lehane</dc:creator>
  <cp:keywords/>
  <dc:description/>
  <cp:lastModifiedBy>Chris DeLisle</cp:lastModifiedBy>
  <cp:revision/>
  <dcterms:created xsi:type="dcterms:W3CDTF">2025-12-30T13:47:05Z</dcterms:created>
  <dcterms:modified xsi:type="dcterms:W3CDTF">2026-03-27T20:10:03Z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0x010100E1A53071F422B040BA30C37F3761913B</vt:lpwstr>
  </property>
</Properties>
</file>